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e7a9dfcf5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fd99c66ba9d74bec"/>
    <x:sheet xmlns:r="http://schemas.openxmlformats.org/officeDocument/2006/relationships" name="Data" sheetId="2" r:id="R043c3d1e2092414b"/>
    <x:sheet xmlns:r="http://schemas.openxmlformats.org/officeDocument/2006/relationships" name="Parsed" sheetId="3" r:id="Ra76392546648476c"/>
    <x:sheet xmlns:r="http://schemas.openxmlformats.org/officeDocument/2006/relationships" name="All Matches" sheetId="4" r:id="R60a3c25073d743b0"/>
    <x:sheet xmlns:r="http://schemas.openxmlformats.org/officeDocument/2006/relationships" name="Rules" sheetId="5" r:id="R300b8f46c92a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&quot;%&quot;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4"/>
      <x:color rgb="065F46"/>
      <x:name val="Carlito"/>
    </x:font>
    <x:font>
      <x:i/>
      <x:sz val="11"/>
      <x:color rgb="37415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374151"/>
      </x:patternFill>
    </x:fill>
    <x:fill>
      <x:patternFill patternType="solid">
        <x:fgColor rgb="111827"/>
      </x:patternFill>
    </x:fill>
    <x:fill>
      <x:patternFill patternType="solid">
        <x:fgColor rgb="0F766E"/>
      </x:patternFill>
    </x:fill>
    <x:fill>
      <x:patternFill patternType="solid">
        <x:fgColor rgb="ECFDF5"/>
      </x:patternFill>
    </x:fill>
    <x:fill>
      <x:patternFill patternType="solid">
        <x:fgColor rgb="F3F4F6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1" fontId="0" fillId="0" borderId="0" xfId="0" applyNumberFormat="1" applyFont="1" applyFill="1" applyBorder="1"/>
    <x:xf numFmtId="201" fontId="0" fillId="6" borderId="0" xfId="0" applyNumberFormat="1" applyFont="1" applyFill="1" applyBorder="1"/>
    <x:xf numFmtId="201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cd059366a4140" /><Relationship Type="http://schemas.openxmlformats.org/officeDocument/2006/relationships/theme" Target="/xl/theme/theme1.xml" Id="R9bcdaa93d29042ad" /><Relationship Type="http://schemas.openxmlformats.org/officeDocument/2006/relationships/sharedStrings" Target="/xl/sharedStrings.xml" Id="Rd6d28c847ef64eba" /><Relationship Type="http://schemas.openxmlformats.org/officeDocument/2006/relationships/worksheet" Target="/xl/worksheets/sheet1.xml" Id="Rfd99c66ba9d74bec" /><Relationship Type="http://schemas.openxmlformats.org/officeDocument/2006/relationships/worksheet" Target="/xl/worksheets/sheet2.xml" Id="R043c3d1e2092414b" /><Relationship Type="http://schemas.openxmlformats.org/officeDocument/2006/relationships/worksheet" Target="/xl/worksheets/sheet3.xml" Id="Ra76392546648476c" /><Relationship Type="http://schemas.openxmlformats.org/officeDocument/2006/relationships/worksheet" Target="/xl/worksheets/sheet4.xml" Id="R60a3c25073d743b0" /><Relationship Type="http://schemas.openxmlformats.org/officeDocument/2006/relationships/worksheet" Target="/xl/worksheets/sheet5.xml" Id="R300b8f46c92a483b" /></Relationships>
</file>

<file path=xl/tables/table1.xml><?xml version="1.0" encoding="utf-8"?>
<x:table xmlns:x="http://schemas.openxmlformats.org/spreadsheetml/2006/main" id="1" name="PeopleTable" displayName="PeopleTable" ref="A1:K22" headerRowCount="1">
  <x:tableColumns count="11">
    <x:tableColumn id="1" name="Group"/>
    <x:tableColumn id="2" name="Person"/>
    <x:tableColumn id="3" name="God"/>
    <x:tableColumn id="4" name="Politics"/>
    <x:tableColumn id="5" name="Marriage"/>
    <x:tableColumn id="6" name="Children"/>
    <x:tableColumn id="7" name="Ethicity"/>
    <x:tableColumn id="8" name="Past"/>
    <x:tableColumn id="9" name="D/S"/>
    <x:tableColumn id="10" name="True/kind"/>
    <x:tableColumn id="11" name="Animal"/>
  </x:tableColumns>
  <x:tableStyleInfo name="TableStyleMedium2" showRowStripes="1"/>
</x:table>
</file>

<file path=xl/tables/table2.xml><?xml version="1.0" encoding="utf-8"?>
<x:table xmlns:x="http://schemas.openxmlformats.org/spreadsheetml/2006/main" id="2" name="AllMatchesTable" displayName="AllMatchesTable" ref="A1:E99" headerRowCount="1">
  <x:tableColumns count="5">
    <x:tableColumn id="1" name="Boy"/>
    <x:tableColumn id="2" name="Girl"/>
    <x:tableColumn id="3" name="Girl-to-boy"/>
    <x:tableColumn id="4" name="Boy-to-girl"/>
    <x:tableColumn id="5" name="Fin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fe3de5ed7c41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c28bb6387b64b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70000457763672" hidden="0" customWidth="1"/>
    <x:col min="2" max="2" width="12.270000457763672" hidden="0" customWidth="1"/>
    <x:col min="3" max="3" width="12.270000457763672" hidden="0" customWidth="1"/>
    <x:col min="4" max="4" width="12.270000457763672" hidden="0" customWidth="1"/>
    <x:col min="5" max="5" width="12.270000457763672" hidden="0" customWidth="1"/>
    <x:col min="6" max="6" width="12.270000457763672" hidden="0" customWidth="1"/>
    <x:col min="7" max="7" width="12.270000457763672" hidden="0" customWidth="1"/>
    <x:col min="8" max="8" width="12.270000457763672" hidden="0" customWidth="1"/>
    <x:col min="9" max="9" width="12.270000457763672" hidden="0" customWidth="1"/>
    <x:col min="10" max="10" width="14.109999656677246" hidden="0" customWidth="1"/>
  </x:cols>
  <x:sheetData>
    <x:row r="1">
      <x:c r="A1" s="8" t="str">
        <x:v>Compatibility Calculator</x:v>
      </x:c>
    </x:row>
    <x:row r="3">
      <x:c r="A3" s="10" t="str">
        <x:v>Input</x:v>
      </x:c>
      <x:c r="B3" s="10" t="str">
        <x:v>Name</x:v>
      </x:c>
    </x:row>
    <x:row r="4">
      <x:c r="A4" t="str">
        <x:v>Person A</x:v>
      </x:c>
      <x:c r="B4" t="str">
        <x:v>tony</x:v>
      </x:c>
    </x:row>
    <x:row r="5">
      <x:c r="A5" t="str">
        <x:v>Person B</x:v>
      </x:c>
      <x:c r="B5" t="str">
        <x:v>jasmine</x:v>
      </x:c>
    </x:row>
    <x:row r="6">
      <x:c r="A6" t="str">
        <x:v>B-to-A score</x:v>
      </x:c>
      <x:c r="B6" s="11" t="n">
        <x:f>SUM(F13:F21)</x:f>
        <x:v>65</x:v>
      </x:c>
    </x:row>
    <x:row r="7">
      <x:c r="A7" t="str">
        <x:v>A-to-B score</x:v>
      </x:c>
      <x:c r="B7" s="11" t="n">
        <x:f>SUM(I13:I21)</x:f>
        <x:v>63.75</x:v>
      </x:c>
    </x:row>
    <x:row r="8">
      <x:c r="A8" t="str">
        <x:v>Final score</x:v>
      </x:c>
      <x:c r="B8" s="13" t="n">
        <x:f>SQRT(B6*B7)</x:f>
        <x:v>64.37196594791867</x:v>
      </x:c>
    </x:row>
    <x:row r="10" ht="31.5" customHeight="1">
      <x:c r="A10" s="16" t="str">
        <x:v>B-to-A means Person B's wants are checked against Person A's answers first; A-to-B does the reverse. Final uses SQRT(B-to-A * A-to-B).</x:v>
      </x:c>
    </x:row>
    <x:row r="12">
      <x:c r="A12" s="2" t="str">
        <x:v>Question</x:v>
      </x:c>
      <x:c r="B12" s="2" t="str">
        <x:v>A code</x:v>
      </x:c>
      <x:c r="C12" s="2" t="str">
        <x:v>B code</x:v>
      </x:c>
      <x:c r="D12" s="2" t="str">
        <x:v>B wants</x:v>
      </x:c>
      <x:c r="E12" s="2" t="str">
        <x:v>A actual</x:v>
      </x:c>
      <x:c r="F12" s="2" t="str">
        <x:v>B-to-A pts</x:v>
      </x:c>
      <x:c r="G12" s="2" t="str">
        <x:v>A wants</x:v>
      </x:c>
      <x:c r="H12" s="2" t="str">
        <x:v>B actual</x:v>
      </x:c>
      <x:c r="I12" s="2" t="str">
        <x:v>A-to-B pts</x:v>
      </x:c>
      <x:c r="J12" s="2" t="str">
        <x:v>Note</x:v>
      </x:c>
    </x:row>
    <x:row r="13">
      <x:c r="A13" t="str">
        <x:v>God</x:v>
      </x:c>
      <x:c r="B13" t="str">
        <x:f>IFERROR(INDEX(Parsed!$D$2:$D$190,(MATCH($B$4,Data!$B$2:$B$22,0)-1)*9+MATCH(A13,Parsed!$C$2:$C$10,0)),"")</x:f>
        <x:v>Y^=N</x:v>
      </x:c>
      <x:c r="C13" t="str">
        <x:f>IFERROR(INDEX(Parsed!$D$2:$D$190,(MATCH($B$5,Data!$B$2:$B$22,0)-1)*9+MATCH(A13,Parsed!$C$2:$C$10,0)),"")</x:f>
        <x:v>Y^=M</x:v>
      </x:c>
      <x:c r="D13" t="str">
        <x:f>IFERROR(INDEX(Parsed!$K$2:$K$190,(MATCH($B$5,Data!$B$2:$B$22,0)-1)*9+MATCH(A13,Parsed!$C$2:$C$10,0)),"")</x:f>
        <x:v>Y</x:v>
      </x:c>
      <x:c r="E13" t="str">
        <x:f>IFERROR(INDEX(Parsed!$H$2:$H$190,(MATCH($B$4,Data!$B$2:$B$22,0)-1)*9+MATCH(A13,Parsed!$C$2:$C$10,0)),"")</x:f>
        <x:v>Y</x:v>
      </x:c>
      <x:c r="F13" s="11" t="n">
        <x:f>IFERROR(IF(D13=E13,INDEX(Parsed!$M$2:$M$190,(MATCH($B$5,Data!$B$2:$B$22,0)-1)*9+MATCH(A13,Parsed!$C$2:$C$10,0))*INDEX(Parsed!$I$2:$I$190,(MATCH($B$4,Data!$B$2:$B$22,0)-1)*9+MATCH(A13,Parsed!$C$2:$C$10,0)),0),0)</x:f>
        <x:v>40</x:v>
      </x:c>
      <x:c r="G13" t="str">
        <x:f>IFERROR(INDEX(Parsed!$K$2:$K$190,(MATCH($B$4,Data!$B$2:$B$22,0)-1)*9+MATCH(A13,Parsed!$C$2:$C$10,0)),"")</x:f>
        <x:v>Y</x:v>
      </x:c>
      <x:c r="H13" t="str">
        <x:f>IFERROR(INDEX(Parsed!$H$2:$H$190,(MATCH($B$5,Data!$B$2:$B$22,0)-1)*9+MATCH(A13,Parsed!$C$2:$C$10,0)),"")</x:f>
        <x:v>Y</x:v>
      </x:c>
      <x:c r="I13" s="11" t="n">
        <x:f>IFERROR(IF(G13=H13,INDEX(Parsed!$M$2:$M$190,(MATCH($B$4,Data!$B$2:$B$22,0)-1)*9+MATCH(A13,Parsed!$C$2:$C$10,0))*INDEX(Parsed!$I$2:$I$190,(MATCH($B$5,Data!$B$2:$B$22,0)-1)*9+MATCH(A13,Parsed!$C$2:$C$10,0)),0),0)</x:f>
        <x:v>10</x:v>
      </x:c>
      <x:c r="J13" t="str">
        <x:f>IF(AND(F13=0,I13=0),"",IF(F13&gt;I13,"B cares match",IF(I13&gt;F13,"A cares match","both / tie")))</x:f>
        <x:v>B cares match</x:v>
      </x:c>
    </x:row>
    <x:row r="14">
      <x:c r="A14" t="str">
        <x:v>Politics</x:v>
      </x:c>
      <x:c r="B14" t="str">
        <x:f>IFERROR(INDEX(Parsed!$D$2:$D$190,(MATCH($B$4,Data!$B$2:$B$22,0)-1)*9+MATCH(A14,Parsed!$C$2:$C$10,0)),"")</x:f>
        <x:v>L^=D</x:v>
      </x:c>
      <x:c r="C14" t="str">
        <x:f>IFERROR(INDEX(Parsed!$D$2:$D$190,(MATCH($B$5,Data!$B$2:$B$22,0)-1)*9+MATCH(A14,Parsed!$C$2:$C$10,0)),"")</x:f>
        <x:v>R-=I</x:v>
      </x:c>
      <x:c r="D14" t="str">
        <x:f>IFERROR(INDEX(Parsed!$K$2:$K$190,(MATCH($B$5,Data!$B$2:$B$22,0)-1)*9+MATCH(A14,Parsed!$C$2:$C$10,0)),"")</x:f>
        <x:v>R</x:v>
      </x:c>
      <x:c r="E14" t="str">
        <x:f>IFERROR(INDEX(Parsed!$H$2:$H$190,(MATCH($B$4,Data!$B$2:$B$22,0)-1)*9+MATCH(A14,Parsed!$C$2:$C$10,0)),"")</x:f>
        <x:v>L</x:v>
      </x:c>
      <x:c r="F14" s="11" t="n">
        <x:f>IFERROR(IF(D14=E14,INDEX(Parsed!$M$2:$M$190,(MATCH($B$5,Data!$B$2:$B$22,0)-1)*9+MATCH(A14,Parsed!$C$2:$C$10,0))*INDEX(Parsed!$I$2:$I$190,(MATCH($B$4,Data!$B$2:$B$22,0)-1)*9+MATCH(A14,Parsed!$C$2:$C$10,0)),0),0)</x:f>
        <x:v>0</x:v>
      </x:c>
      <x:c r="G14" t="str">
        <x:f>IFERROR(INDEX(Parsed!$K$2:$K$190,(MATCH($B$4,Data!$B$2:$B$22,0)-1)*9+MATCH(A14,Parsed!$C$2:$C$10,0)),"")</x:f>
        <x:v>L</x:v>
      </x:c>
      <x:c r="H14" t="str">
        <x:f>IFERROR(INDEX(Parsed!$H$2:$H$190,(MATCH($B$5,Data!$B$2:$B$22,0)-1)*9+MATCH(A14,Parsed!$C$2:$C$10,0)),"")</x:f>
        <x:v>R</x:v>
      </x:c>
      <x:c r="I14" s="11" t="n">
        <x:f>IFERROR(IF(G14=H14,INDEX(Parsed!$M$2:$M$190,(MATCH($B$4,Data!$B$2:$B$22,0)-1)*9+MATCH(A14,Parsed!$C$2:$C$10,0))*INDEX(Parsed!$I$2:$I$190,(MATCH($B$5,Data!$B$2:$B$22,0)-1)*9+MATCH(A14,Parsed!$C$2:$C$10,0)),0),0)</x:f>
        <x:v>0</x:v>
      </x:c>
      <x:c r="J14" t="str">
        <x:f>IF(AND(F14=0,I14=0),"",IF(F14&gt;I14,"B cares match",IF(I14&gt;F14,"A cares match","both / tie")))</x:f>
      </x:c>
    </x:row>
    <x:row r="15">
      <x:c r="A15" t="str">
        <x:v>Marriage</x:v>
      </x:c>
      <x:c r="B15" t="str">
        <x:f>IFERROR(INDEX(Parsed!$D$2:$D$190,(MATCH($B$4,Data!$B$2:$B$22,0)-1)*9+MATCH(A15,Parsed!$C$2:$C$10,0)),"")</x:f>
        <x:v>L-=I</x:v>
      </x:c>
      <x:c r="C15" t="str">
        <x:f>IFERROR(INDEX(Parsed!$D$2:$D$190,(MATCH($B$5,Data!$B$2:$B$22,0)-1)*9+MATCH(A15,Parsed!$C$2:$C$10,0)),"")</x:f>
        <x:v>S^=I</x:v>
      </x:c>
      <x:c r="D15" t="str">
        <x:f>IFERROR(INDEX(Parsed!$K$2:$K$190,(MATCH($B$5,Data!$B$2:$B$22,0)-1)*9+MATCH(A15,Parsed!$C$2:$C$10,0)),"")</x:f>
        <x:v>S</x:v>
      </x:c>
      <x:c r="E15" t="str">
        <x:f>IFERROR(INDEX(Parsed!$H$2:$H$190,(MATCH($B$4,Data!$B$2:$B$22,0)-1)*9+MATCH(A15,Parsed!$C$2:$C$10,0)),"")</x:f>
        <x:v>L</x:v>
      </x:c>
      <x:c r="F15" s="11" t="n">
        <x:f>IFERROR(IF(D15=E15,INDEX(Parsed!$M$2:$M$190,(MATCH($B$5,Data!$B$2:$B$22,0)-1)*9+MATCH(A15,Parsed!$C$2:$C$10,0))*INDEX(Parsed!$I$2:$I$190,(MATCH($B$4,Data!$B$2:$B$22,0)-1)*9+MATCH(A15,Parsed!$C$2:$C$10,0)),0),0)</x:f>
        <x:v>0</x:v>
      </x:c>
      <x:c r="G15" t="str">
        <x:f>IFERROR(INDEX(Parsed!$K$2:$K$190,(MATCH($B$4,Data!$B$2:$B$22,0)-1)*9+MATCH(A15,Parsed!$C$2:$C$10,0)),"")</x:f>
        <x:v>L</x:v>
      </x:c>
      <x:c r="H15" t="str">
        <x:f>IFERROR(INDEX(Parsed!$H$2:$H$190,(MATCH($B$5,Data!$B$2:$B$22,0)-1)*9+MATCH(A15,Parsed!$C$2:$C$10,0)),"")</x:f>
        <x:v>S</x:v>
      </x:c>
      <x:c r="I15" s="11" t="n">
        <x:f>IFERROR(IF(G15=H15,INDEX(Parsed!$M$2:$M$190,(MATCH($B$4,Data!$B$2:$B$22,0)-1)*9+MATCH(A15,Parsed!$C$2:$C$10,0))*INDEX(Parsed!$I$2:$I$190,(MATCH($B$5,Data!$B$2:$B$22,0)-1)*9+MATCH(A15,Parsed!$C$2:$C$10,0)),0),0)</x:f>
        <x:v>0</x:v>
      </x:c>
      <x:c r="J15" t="str">
        <x:f>IF(AND(F15=0,I15=0),"",IF(F15&gt;I15,"B cares match",IF(I15&gt;F15,"A cares match","both / tie")))</x:f>
      </x:c>
    </x:row>
    <x:row r="16">
      <x:c r="A16" t="str">
        <x:v>Children</x:v>
      </x:c>
      <x:c r="B16" t="str">
        <x:f>IFERROR(INDEX(Parsed!$D$2:$D$190,(MATCH($B$4,Data!$B$2:$B$22,0)-1)*9+MATCH(A16,Parsed!$C$2:$C$10,0)),"")</x:f>
        <x:v>Y^=I</x:v>
      </x:c>
      <x:c r="C16" t="str">
        <x:f>IFERROR(INDEX(Parsed!$D$2:$D$190,(MATCH($B$5,Data!$B$2:$B$22,0)-1)*9+MATCH(A16,Parsed!$C$2:$C$10,0)),"")</x:f>
        <x:v>N-</x:v>
      </x:c>
      <x:c r="D16" t="str">
        <x:f>IFERROR(INDEX(Parsed!$K$2:$K$190,(MATCH($B$5,Data!$B$2:$B$22,0)-1)*9+MATCH(A16,Parsed!$C$2:$C$10,0)),"")</x:f>
      </x:c>
      <x:c r="E16" t="str">
        <x:f>IFERROR(INDEX(Parsed!$H$2:$H$190,(MATCH($B$4,Data!$B$2:$B$22,0)-1)*9+MATCH(A16,Parsed!$C$2:$C$10,0)),"")</x:f>
        <x:v>Y</x:v>
      </x:c>
      <x:c r="F16" s="11" t="n">
        <x:f>IFERROR(IF(D16=E16,INDEX(Parsed!$M$2:$M$190,(MATCH($B$5,Data!$B$2:$B$22,0)-1)*9+MATCH(A16,Parsed!$C$2:$C$10,0))*INDEX(Parsed!$I$2:$I$190,(MATCH($B$4,Data!$B$2:$B$22,0)-1)*9+MATCH(A16,Parsed!$C$2:$C$10,0)),0),0)</x:f>
        <x:v>0</x:v>
      </x:c>
      <x:c r="G16" t="str">
        <x:f>IFERROR(INDEX(Parsed!$K$2:$K$190,(MATCH($B$4,Data!$B$2:$B$22,0)-1)*9+MATCH(A16,Parsed!$C$2:$C$10,0)),"")</x:f>
        <x:v>Y</x:v>
      </x:c>
      <x:c r="H16" t="str">
        <x:f>IFERROR(INDEX(Parsed!$H$2:$H$190,(MATCH($B$5,Data!$B$2:$B$22,0)-1)*9+MATCH(A16,Parsed!$C$2:$C$10,0)),"")</x:f>
        <x:v>N</x:v>
      </x:c>
      <x:c r="I16" s="11" t="n">
        <x:f>IFERROR(IF(G16=H16,INDEX(Parsed!$M$2:$M$190,(MATCH($B$4,Data!$B$2:$B$22,0)-1)*9+MATCH(A16,Parsed!$C$2:$C$10,0))*INDEX(Parsed!$I$2:$I$190,(MATCH($B$5,Data!$B$2:$B$22,0)-1)*9+MATCH(A16,Parsed!$C$2:$C$10,0)),0),0)</x:f>
        <x:v>0</x:v>
      </x:c>
      <x:c r="J16" t="str">
        <x:f>IF(AND(F16=0,I16=0),"",IF(F16&gt;I16,"B cares match",IF(I16&gt;F16,"A cares match","both / tie")))</x:f>
      </x:c>
    </x:row>
    <x:row r="17">
      <x:c r="A17" t="str">
        <x:v>Ethicity</x:v>
      </x:c>
      <x:c r="B17" t="str">
        <x:f>IFERROR(INDEX(Parsed!$D$2:$D$190,(MATCH($B$4,Data!$B$2:$B$22,0)-1)*9+MATCH(A17,Parsed!$C$2:$C$10,0)),"")</x:f>
        <x:v>A^=M</x:v>
      </x:c>
      <x:c r="C17" t="str">
        <x:f>IFERROR(INDEX(Parsed!$D$2:$D$190,(MATCH($B$5,Data!$B$2:$B$22,0)-1)*9+MATCH(A17,Parsed!$C$2:$C$10,0)),"")</x:f>
        <x:v>A^</x:v>
      </x:c>
      <x:c r="D17" t="str">
        <x:f>IFERROR(INDEX(Parsed!$K$2:$K$190,(MATCH($B$5,Data!$B$2:$B$22,0)-1)*9+MATCH(A17,Parsed!$C$2:$C$10,0)),"")</x:f>
      </x:c>
      <x:c r="E17" t="str">
        <x:f>IFERROR(INDEX(Parsed!$H$2:$H$190,(MATCH($B$4,Data!$B$2:$B$22,0)-1)*9+MATCH(A17,Parsed!$C$2:$C$10,0)),"")</x:f>
        <x:v>A</x:v>
      </x:c>
      <x:c r="F17" s="11" t="n">
        <x:f>IFERROR(IF(D17=E17,INDEX(Parsed!$M$2:$M$190,(MATCH($B$5,Data!$B$2:$B$22,0)-1)*9+MATCH(A17,Parsed!$C$2:$C$10,0))*INDEX(Parsed!$I$2:$I$190,(MATCH($B$4,Data!$B$2:$B$22,0)-1)*9+MATCH(A17,Parsed!$C$2:$C$10,0)),0),0)</x:f>
        <x:v>0</x:v>
      </x:c>
      <x:c r="G17" t="str">
        <x:f>IFERROR(INDEX(Parsed!$K$2:$K$190,(MATCH($B$4,Data!$B$2:$B$22,0)-1)*9+MATCH(A17,Parsed!$C$2:$C$10,0)),"")</x:f>
        <x:v>A</x:v>
      </x:c>
      <x:c r="H17" t="str">
        <x:f>IFERROR(INDEX(Parsed!$H$2:$H$190,(MATCH($B$5,Data!$B$2:$B$22,0)-1)*9+MATCH(A17,Parsed!$C$2:$C$10,0)),"")</x:f>
        <x:v>A</x:v>
      </x:c>
      <x:c r="I17" s="11" t="n">
        <x:f>IFERROR(IF(G17=H17,INDEX(Parsed!$M$2:$M$190,(MATCH($B$4,Data!$B$2:$B$22,0)-1)*9+MATCH(A17,Parsed!$C$2:$C$10,0))*INDEX(Parsed!$I$2:$I$190,(MATCH($B$5,Data!$B$2:$B$22,0)-1)*9+MATCH(A17,Parsed!$C$2:$C$10,0)),0),0)</x:f>
        <x:v>40</x:v>
      </x:c>
      <x:c r="J17" t="str">
        <x:f>IF(AND(F17=0,I17=0),"",IF(F17&gt;I17,"B cares match",IF(I17&gt;F17,"A cares match","both / tie")))</x:f>
        <x:v>A cares match</x:v>
      </x:c>
    </x:row>
    <x:row r="18">
      <x:c r="A18" t="str">
        <x:v>Past</x:v>
      </x:c>
      <x:c r="B18" t="str">
        <x:f>IFERROR(INDEX(Parsed!$D$2:$D$190,(MATCH($B$4,Data!$B$2:$B$22,0)-1)*9+MATCH(A18,Parsed!$C$2:$C$10,0)),"")</x:f>
        <x:v>Y-</x:v>
      </x:c>
      <x:c r="C18" t="str">
        <x:f>IFERROR(INDEX(Parsed!$D$2:$D$190,(MATCH($B$5,Data!$B$2:$B$22,0)-1)*9+MATCH(A18,Parsed!$C$2:$C$10,0)),"")</x:f>
        <x:v>N^=D</x:v>
      </x:c>
      <x:c r="D18" t="str">
        <x:f>IFERROR(INDEX(Parsed!$K$2:$K$190,(MATCH($B$5,Data!$B$2:$B$22,0)-1)*9+MATCH(A18,Parsed!$C$2:$C$10,0)),"")</x:f>
        <x:v>N</x:v>
      </x:c>
      <x:c r="E18" t="str">
        <x:f>IFERROR(INDEX(Parsed!$H$2:$H$190,(MATCH($B$4,Data!$B$2:$B$22,0)-1)*9+MATCH(A18,Parsed!$C$2:$C$10,0)),"")</x:f>
        <x:v>Y</x:v>
      </x:c>
      <x:c r="F18" s="11" t="n">
        <x:f>IFERROR(IF(D18=E18,INDEX(Parsed!$M$2:$M$190,(MATCH($B$5,Data!$B$2:$B$22,0)-1)*9+MATCH(A18,Parsed!$C$2:$C$10,0))*INDEX(Parsed!$I$2:$I$190,(MATCH($B$4,Data!$B$2:$B$22,0)-1)*9+MATCH(A18,Parsed!$C$2:$C$10,0)),0),0)</x:f>
        <x:v>0</x:v>
      </x:c>
      <x:c r="G18" t="str">
        <x:f>IFERROR(INDEX(Parsed!$K$2:$K$190,(MATCH($B$4,Data!$B$2:$B$22,0)-1)*9+MATCH(A18,Parsed!$C$2:$C$10,0)),"")</x:f>
      </x:c>
      <x:c r="H18" t="str">
        <x:f>IFERROR(INDEX(Parsed!$H$2:$H$190,(MATCH($B$5,Data!$B$2:$B$22,0)-1)*9+MATCH(A18,Parsed!$C$2:$C$10,0)),"")</x:f>
        <x:v>N</x:v>
      </x:c>
      <x:c r="I18" s="11" t="n">
        <x:f>IFERROR(IF(G18=H18,INDEX(Parsed!$M$2:$M$190,(MATCH($B$4,Data!$B$2:$B$22,0)-1)*9+MATCH(A18,Parsed!$C$2:$C$10,0))*INDEX(Parsed!$I$2:$I$190,(MATCH($B$5,Data!$B$2:$B$22,0)-1)*9+MATCH(A18,Parsed!$C$2:$C$10,0)),0),0)</x:f>
        <x:v>0</x:v>
      </x:c>
      <x:c r="J18" t="str">
        <x:f>IF(AND(F18=0,I18=0),"",IF(F18&gt;I18,"B cares match",IF(I18&gt;F18,"A cares match","both / tie")))</x:f>
      </x:c>
    </x:row>
    <x:row r="19">
      <x:c r="A19" t="str">
        <x:v>D/S</x:v>
      </x:c>
      <x:c r="B19" t="str">
        <x:f>IFERROR(INDEX(Parsed!$D$2:$D$190,(MATCH($B$4,Data!$B$2:$B$22,0)-1)*9+MATCH(A19,Parsed!$C$2:$C$10,0)),"")</x:f>
        <x:v>D^SD</x:v>
      </x:c>
      <x:c r="C19" t="str">
        <x:f>IFERROR(INDEX(Parsed!$D$2:$D$190,(MATCH($B$5,Data!$B$2:$B$22,0)-1)*9+MATCH(A19,Parsed!$C$2:$C$10,0)),"")</x:f>
        <x:v>S-DD</x:v>
      </x:c>
      <x:c r="D19" t="str">
        <x:f>IFERROR(INDEX(Parsed!$K$2:$K$190,(MATCH($B$5,Data!$B$2:$B$22,0)-1)*9+MATCH(A19,Parsed!$C$2:$C$10,0)),"")</x:f>
        <x:v>D</x:v>
      </x:c>
      <x:c r="E19" t="str">
        <x:f>IFERROR(INDEX(Parsed!$H$2:$H$190,(MATCH($B$4,Data!$B$2:$B$22,0)-1)*9+MATCH(A19,Parsed!$C$2:$C$10,0)),"")</x:f>
        <x:v>D</x:v>
      </x:c>
      <x:c r="F19" s="11" t="n">
        <x:f>IFERROR(IF(D19=E19,INDEX(Parsed!$M$2:$M$190,(MATCH($B$5,Data!$B$2:$B$22,0)-1)*9+MATCH(A19,Parsed!$C$2:$C$10,0))*INDEX(Parsed!$I$2:$I$190,(MATCH($B$4,Data!$B$2:$B$22,0)-1)*9+MATCH(A19,Parsed!$C$2:$C$10,0)),0),0)</x:f>
        <x:v>5</x:v>
      </x:c>
      <x:c r="G19" t="str">
        <x:f>IFERROR(INDEX(Parsed!$K$2:$K$190,(MATCH($B$4,Data!$B$2:$B$22,0)-1)*9+MATCH(A19,Parsed!$C$2:$C$10,0)),"")</x:f>
        <x:v>S</x:v>
      </x:c>
      <x:c r="H19" t="str">
        <x:f>IFERROR(INDEX(Parsed!$H$2:$H$190,(MATCH($B$5,Data!$B$2:$B$22,0)-1)*9+MATCH(A19,Parsed!$C$2:$C$10,0)),"")</x:f>
        <x:v>S</x:v>
      </x:c>
      <x:c r="I19" s="11" t="n">
        <x:f>IFERROR(IF(G19=H19,INDEX(Parsed!$M$2:$M$190,(MATCH($B$4,Data!$B$2:$B$22,0)-1)*9+MATCH(A19,Parsed!$C$2:$C$10,0))*INDEX(Parsed!$I$2:$I$190,(MATCH($B$5,Data!$B$2:$B$22,0)-1)*9+MATCH(A19,Parsed!$C$2:$C$10,0)),0),0)</x:f>
        <x:v>3.75</x:v>
      </x:c>
      <x:c r="J19" t="str">
        <x:f>IF(AND(F19=0,I19=0),"",IF(F19&gt;I19,"B cares match",IF(I19&gt;F19,"A cares match","both / tie")))</x:f>
        <x:v>B cares match</x:v>
      </x:c>
    </x:row>
    <x:row r="20">
      <x:c r="A20" t="str">
        <x:v>True/kind</x:v>
      </x:c>
      <x:c r="B20" t="str">
        <x:f>IFERROR(INDEX(Parsed!$D$2:$D$190,(MATCH($B$4,Data!$B$2:$B$22,0)-1)*9+MATCH(A20,Parsed!$C$2:$C$10,0)),"")</x:f>
        <x:v>T^</x:v>
      </x:c>
      <x:c r="C20" t="str">
        <x:f>IFERROR(INDEX(Parsed!$D$2:$D$190,(MATCH($B$5,Data!$B$2:$B$22,0)-1)*9+MATCH(A20,Parsed!$C$2:$C$10,0)),"")</x:f>
        <x:v>K^TN</x:v>
      </x:c>
      <x:c r="D20" t="str">
        <x:f>IFERROR(INDEX(Parsed!$K$2:$K$190,(MATCH($B$5,Data!$B$2:$B$22,0)-1)*9+MATCH(A20,Parsed!$C$2:$C$10,0)),"")</x:f>
        <x:v>T</x:v>
      </x:c>
      <x:c r="E20" t="str">
        <x:f>IFERROR(INDEX(Parsed!$H$2:$H$190,(MATCH($B$4,Data!$B$2:$B$22,0)-1)*9+MATCH(A20,Parsed!$C$2:$C$10,0)),"")</x:f>
        <x:v>T</x:v>
      </x:c>
      <x:c r="F20" s="11" t="n">
        <x:f>IFERROR(IF(D20=E20,INDEX(Parsed!$M$2:$M$190,(MATCH($B$5,Data!$B$2:$B$22,0)-1)*9+MATCH(A20,Parsed!$C$2:$C$10,0))*INDEX(Parsed!$I$2:$I$190,(MATCH($B$4,Data!$B$2:$B$22,0)-1)*9+MATCH(A20,Parsed!$C$2:$C$10,0)),0),0)</x:f>
        <x:v>10</x:v>
      </x:c>
      <x:c r="G20" t="str">
        <x:f>IFERROR(INDEX(Parsed!$K$2:$K$190,(MATCH($B$4,Data!$B$2:$B$22,0)-1)*9+MATCH(A20,Parsed!$C$2:$C$10,0)),"")</x:f>
      </x:c>
      <x:c r="H20" t="str">
        <x:f>IFERROR(INDEX(Parsed!$H$2:$H$190,(MATCH($B$5,Data!$B$2:$B$22,0)-1)*9+MATCH(A20,Parsed!$C$2:$C$10,0)),"")</x:f>
        <x:v>K</x:v>
      </x:c>
      <x:c r="I20" s="11" t="n">
        <x:f>IFERROR(IF(G20=H20,INDEX(Parsed!$M$2:$M$190,(MATCH($B$4,Data!$B$2:$B$22,0)-1)*9+MATCH(A20,Parsed!$C$2:$C$10,0))*INDEX(Parsed!$I$2:$I$190,(MATCH($B$5,Data!$B$2:$B$22,0)-1)*9+MATCH(A20,Parsed!$C$2:$C$10,0)),0),0)</x:f>
        <x:v>0</x:v>
      </x:c>
      <x:c r="J20" t="str">
        <x:f>IF(AND(F20=0,I20=0),"",IF(F20&gt;I20,"B cares match",IF(I20&gt;F20,"A cares match","both / tie")))</x:f>
        <x:v>B cares match</x:v>
      </x:c>
    </x:row>
    <x:row r="21">
      <x:c r="A21" t="str">
        <x:v>Animal</x:v>
      </x:c>
      <x:c r="B21" t="str">
        <x:f>IFERROR(INDEX(Parsed!$D$2:$D$190,(MATCH($B$4,Data!$B$2:$B$22,0)-1)*9+MATCH(A21,Parsed!$C$2:$C$10,0)),"")</x:f>
        <x:v>A^=N</x:v>
      </x:c>
      <x:c r="C21" t="str">
        <x:f>IFERROR(INDEX(Parsed!$D$2:$D$190,(MATCH($B$5,Data!$B$2:$B$22,0)-1)*9+MATCH(A21,Parsed!$C$2:$C$10,0)),"")</x:f>
        <x:v>A^=N</x:v>
      </x:c>
      <x:c r="D21" t="str">
        <x:f>IFERROR(INDEX(Parsed!$K$2:$K$190,(MATCH($B$5,Data!$B$2:$B$22,0)-1)*9+MATCH(A21,Parsed!$C$2:$C$10,0)),"")</x:f>
        <x:v>A</x:v>
      </x:c>
      <x:c r="E21" t="str">
        <x:f>IFERROR(INDEX(Parsed!$H$2:$H$190,(MATCH($B$4,Data!$B$2:$B$22,0)-1)*9+MATCH(A21,Parsed!$C$2:$C$10,0)),"")</x:f>
        <x:v>A</x:v>
      </x:c>
      <x:c r="F21" s="11" t="n">
        <x:f>IFERROR(IF(D21=E21,INDEX(Parsed!$M$2:$M$190,(MATCH($B$5,Data!$B$2:$B$22,0)-1)*9+MATCH(A21,Parsed!$C$2:$C$10,0))*INDEX(Parsed!$I$2:$I$190,(MATCH($B$4,Data!$B$2:$B$22,0)-1)*9+MATCH(A21,Parsed!$C$2:$C$10,0)),0),0)</x:f>
        <x:v>10</x:v>
      </x:c>
      <x:c r="G21" t="str">
        <x:f>IFERROR(INDEX(Parsed!$K$2:$K$190,(MATCH($B$4,Data!$B$2:$B$22,0)-1)*9+MATCH(A21,Parsed!$C$2:$C$10,0)),"")</x:f>
        <x:v>A</x:v>
      </x:c>
      <x:c r="H21" t="str">
        <x:f>IFERROR(INDEX(Parsed!$H$2:$H$190,(MATCH($B$5,Data!$B$2:$B$22,0)-1)*9+MATCH(A21,Parsed!$C$2:$C$10,0)),"")</x:f>
        <x:v>A</x:v>
      </x:c>
      <x:c r="I21" s="11" t="n">
        <x:f>IFERROR(IF(G21=H21,INDEX(Parsed!$M$2:$M$190,(MATCH($B$4,Data!$B$2:$B$22,0)-1)*9+MATCH(A21,Parsed!$C$2:$C$10,0))*INDEX(Parsed!$I$2:$I$190,(MATCH($B$5,Data!$B$2:$B$22,0)-1)*9+MATCH(A21,Parsed!$C$2:$C$10,0)),0),0)</x:f>
        <x:v>10</x:v>
      </x:c>
      <x:c r="J21" t="str">
        <x:f>IF(AND(F21=0,I21=0),"",IF(F21&gt;I21,"B cares match",IF(I21&gt;F21,"A cares match","both / tie")))</x:f>
        <x:v>both / tie</x:v>
      </x:c>
    </x:row>
  </x:sheetData>
  <x:mergeCells>
    <x:mergeCell ref="A1:J1"/>
    <x:mergeCell ref="A10:J10"/>
  </x:mergeCells>
  <x:dataValidations count="1">
    <x:dataValidation type="list" sqref="B4:B5">
      <x:formula1>Data!$B$2:$B$22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980000019073486" hidden="0" customWidth="1"/>
    <x:col min="2" max="2" width="14.109999656677246" hidden="0" customWidth="1"/>
    <x:col min="3" max="3" width="9.9399995803833" hidden="0" customWidth="1"/>
    <x:col min="4" max="4" width="9.9399995803833" hidden="0" customWidth="1"/>
    <x:col min="5" max="5" width="9.9399995803833" hidden="0" customWidth="1"/>
    <x:col min="6" max="6" width="9.9399995803833" hidden="0" customWidth="1"/>
    <x:col min="7" max="7" width="9.9399995803833" hidden="0" customWidth="1"/>
    <x:col min="8" max="8" width="9.9399995803833" hidden="0" customWidth="1"/>
    <x:col min="9" max="9" width="9.9399995803833" hidden="0" customWidth="1"/>
    <x:col min="10" max="10" width="9.9399995803833" hidden="0" customWidth="1"/>
    <x:col min="11" max="11" width="9.9399995803833" hidden="0" customWidth="1"/>
  </x:cols>
  <x:sheetData>
    <x:row r="1">
      <x:c r="A1" s="2" t="str">
        <x:v>Group</x:v>
      </x:c>
      <x:c r="B1" s="2" t="str">
        <x:v>Person</x:v>
      </x:c>
      <x:c r="C1" s="2" t="str">
        <x:v>God</x:v>
      </x:c>
      <x:c r="D1" s="2" t="str">
        <x:v>Politics</x:v>
      </x:c>
      <x:c r="E1" s="2" t="str">
        <x:v>Marriage</x:v>
      </x:c>
      <x:c r="F1" s="2" t="str">
        <x:v>Children</x:v>
      </x:c>
      <x:c r="G1" s="2" t="str">
        <x:v>Ethicity</x:v>
      </x:c>
      <x:c r="H1" s="2" t="str">
        <x:v>Past</x:v>
      </x:c>
      <x:c r="I1" s="2" t="str">
        <x:v>D/S</x:v>
      </x:c>
      <x:c r="J1" s="2" t="str">
        <x:v>True/kind</x:v>
      </x:c>
      <x:c r="K1" s="2" t="str">
        <x:v>Animal</x:v>
      </x:c>
    </x:row>
    <x:row r="2">
      <x:c r="A2" t="str">
        <x:v>Boy</x:v>
      </x:c>
      <x:c r="B2" t="str">
        <x:v>joshuah</x:v>
      </x:c>
      <x:c r="C2" t="str">
        <x:v>N-</x:v>
      </x:c>
      <x:c r="D2" t="str">
        <x:v>L-=I</x:v>
      </x:c>
      <x:c r="E2" t="str">
        <x:v>S^=I</x:v>
      </x:c>
      <x:c r="F2" t="str">
        <x:v>Y-=N</x:v>
      </x:c>
      <x:c r="G2" t="str">
        <x:v>A^=D</x:v>
      </x:c>
      <x:c r="H2" t="str">
        <x:v>Y-NM</x:v>
      </x:c>
      <x:c r="I2" t="str">
        <x:v>S-=D</x:v>
      </x:c>
      <x:c r="J2" t="str">
        <x:v>T-=N</x:v>
      </x:c>
      <x:c r="K2" t="str">
        <x:v>A-</x:v>
      </x:c>
    </x:row>
    <x:row r="3">
      <x:c r="A3" t="str">
        <x:v>Boy</x:v>
      </x:c>
      <x:c r="B3" t="str">
        <x:v>alex</x:v>
      </x:c>
      <x:c r="C3" t="str">
        <x:v>N^=N</x:v>
      </x:c>
      <x:c r="D3" t="str">
        <x:v>R-=N</x:v>
      </x:c>
      <x:c r="E3" t="str">
        <x:v>L^=I</x:v>
      </x:c>
      <x:c r="F3" t="str">
        <x:v>Y^=I</x:v>
      </x:c>
      <x:c r="G3" t="str">
        <x:v>A^=M</x:v>
      </x:c>
      <x:c r="H3" t="str">
        <x:v>Y-</x:v>
      </x:c>
      <x:c r="I3" t="str">
        <x:v>S-DD</x:v>
      </x:c>
      <x:c r="J3" t="str">
        <x:v>T^=D</x:v>
      </x:c>
      <x:c r="K3" t="str">
        <x:v>A-</x:v>
      </x:c>
    </x:row>
    <x:row r="4">
      <x:c r="A4" t="str">
        <x:v>Boy</x:v>
      </x:c>
      <x:c r="B4" t="str">
        <x:v>ethan</x:v>
      </x:c>
      <x:c r="C4" t="str">
        <x:v>Y^=M</x:v>
      </x:c>
      <x:c r="D4" t="str">
        <x:v>R^=N</x:v>
      </x:c>
      <x:c r="E4" t="str">
        <x:v>S-LN</x:v>
      </x:c>
      <x:c r="F4" t="str">
        <x:v>Y-=D</x:v>
      </x:c>
      <x:c r="G4" t="str">
        <x:v>A^=I</x:v>
      </x:c>
      <x:c r="H4" t="str">
        <x:v>Y-</x:v>
      </x:c>
      <x:c r="I4" t="str">
        <x:v>S-=D</x:v>
      </x:c>
      <x:c r="J4" t="str">
        <x:v>T^KI</x:v>
      </x:c>
      <x:c r="K4" t="str">
        <x:v>N-</x:v>
      </x:c>
    </x:row>
    <x:row r="5">
      <x:c r="A5" t="str">
        <x:v>Boy</x:v>
      </x:c>
      <x:c r="B5" t="str">
        <x:v>liam</x:v>
      </x:c>
      <x:c r="C5" t="str">
        <x:v>Y-</x:v>
      </x:c>
      <x:c r="D5" t="str">
        <x:v>L-=N</x:v>
      </x:c>
      <x:c r="E5" t="str">
        <x:v>L-=I</x:v>
      </x:c>
      <x:c r="F5" t="str">
        <x:v>Y-</x:v>
      </x:c>
      <x:c r="G5" t="str">
        <x:v>A^=M</x:v>
      </x:c>
      <x:c r="H5" t="str">
        <x:v>N-=I</x:v>
      </x:c>
      <x:c r="I5" t="str">
        <x:v>S-DD</x:v>
      </x:c>
      <x:c r="J5" t="str">
        <x:v>T^=N</x:v>
      </x:c>
      <x:c r="K5" t="str">
        <x:v>A-</x:v>
      </x:c>
    </x:row>
    <x:row r="6">
      <x:c r="A6" t="str">
        <x:v>Boy</x:v>
      </x:c>
      <x:c r="B6" t="str">
        <x:v>arthur</x:v>
      </x:c>
      <x:c r="C6" t="str">
        <x:v>N-</x:v>
      </x:c>
      <x:c r="D6" t="str">
        <x:v>R-LN</x:v>
      </x:c>
      <x:c r="E6" t="str">
        <x:v>S-=N</x:v>
      </x:c>
      <x:c r="F6" t="str">
        <x:v>Y^=I</x:v>
      </x:c>
      <x:c r="G6" t="str">
        <x:v>A^</x:v>
      </x:c>
      <x:c r="H6" t="str">
        <x:v>N-=D</x:v>
      </x:c>
      <x:c r="I6" t="str">
        <x:v>S-DN</x:v>
      </x:c>
      <x:c r="J6" t="str">
        <x:v>T^KM</x:v>
      </x:c>
      <x:c r="K6" t="str">
        <x:v>A-=D</x:v>
      </x:c>
    </x:row>
    <x:row r="7">
      <x:c r="A7" t="str">
        <x:v>Boy</x:v>
      </x:c>
      <x:c r="B7" t="str">
        <x:v>harry</x:v>
      </x:c>
      <x:c r="C7" t="str">
        <x:v>N-=N</x:v>
      </x:c>
      <x:c r="D7" t="str">
        <x:v>R-</x:v>
      </x:c>
      <x:c r="E7" t="str">
        <x:v>S^=M</x:v>
      </x:c>
      <x:c r="F7" t="str">
        <x:v>Y^=I</x:v>
      </x:c>
      <x:c r="G7" t="str">
        <x:v>A^=N</x:v>
      </x:c>
      <x:c r="H7" t="str">
        <x:v>N^=D</x:v>
      </x:c>
      <x:c r="I7" t="str">
        <x:v>S^DN</x:v>
      </x:c>
      <x:c r="J7" t="str">
        <x:v>T-=I</x:v>
      </x:c>
      <x:c r="K7" t="str">
        <x:v>N-</x:v>
      </x:c>
    </x:row>
    <x:row r="8">
      <x:c r="A8" t="str">
        <x:v>Boy</x:v>
      </x:c>
      <x:c r="B8" t="str">
        <x:v>lawrence</x:v>
      </x:c>
      <x:c r="C8" t="str">
        <x:v>N-=D</x:v>
      </x:c>
      <x:c r="D8" t="str">
        <x:v>R-</x:v>
      </x:c>
      <x:c r="E8" t="str">
        <x:v>S^=I</x:v>
      </x:c>
      <x:c r="F8" t="str">
        <x:v>Y-=N</x:v>
      </x:c>
      <x:c r="G8" t="str">
        <x:v>A^=M</x:v>
      </x:c>
      <x:c r="H8" t="str">
        <x:v>Y-</x:v>
      </x:c>
      <x:c r="I8" t="str">
        <x:v>S-=N</x:v>
      </x:c>
      <x:c r="J8" t="str">
        <x:v>T-KD</x:v>
      </x:c>
      <x:c r="K8" t="str">
        <x:v>N-</x:v>
      </x:c>
    </x:row>
    <x:row r="9">
      <x:c r="A9" t="str">
        <x:v>Boy</x:v>
      </x:c>
      <x:c r="B9" t="str">
        <x:v>richard</x:v>
      </x:c>
      <x:c r="C9" t="str">
        <x:v>Y-</x:v>
      </x:c>
      <x:c r="D9" t="str">
        <x:v>R-</x:v>
      </x:c>
      <x:c r="E9" t="str">
        <x:v>S-=N</x:v>
      </x:c>
      <x:c r="F9" t="str">
        <x:v>Y-=I</x:v>
      </x:c>
      <x:c r="G9" t="str">
        <x:v>A^=D</x:v>
      </x:c>
      <x:c r="H9" t="str">
        <x:v>N-=N</x:v>
      </x:c>
      <x:c r="I9" t="str">
        <x:v>S-=N</x:v>
      </x:c>
      <x:c r="J9" t="str">
        <x:v>T^=M</x:v>
      </x:c>
      <x:c r="K9" t="str">
        <x:v>A^=D</x:v>
      </x:c>
    </x:row>
    <x:row r="10">
      <x:c r="A10" t="str">
        <x:v>Boy</x:v>
      </x:c>
      <x:c r="B10" t="str">
        <x:v>tony</x:v>
      </x:c>
      <x:c r="C10" t="str">
        <x:v>Y^=N</x:v>
      </x:c>
      <x:c r="D10" t="str">
        <x:v>L^=D</x:v>
      </x:c>
      <x:c r="E10" t="str">
        <x:v>L-=I</x:v>
      </x:c>
      <x:c r="F10" t="str">
        <x:v>Y^=I</x:v>
      </x:c>
      <x:c r="G10" t="str">
        <x:v>A^=M</x:v>
      </x:c>
      <x:c r="H10" t="str">
        <x:v>Y-</x:v>
      </x:c>
      <x:c r="I10" t="str">
        <x:v>D^SD</x:v>
      </x:c>
      <x:c r="J10" t="str">
        <x:v>T^</x:v>
      </x:c>
      <x:c r="K10" t="str">
        <x:v>A^=N</x:v>
      </x:c>
    </x:row>
    <x:row r="11">
      <x:c r="A11" t="str">
        <x:v>Boy</x:v>
      </x:c>
      <x:c r="B11" t="str">
        <x:v>will</x:v>
      </x:c>
      <x:c r="C11" t="str">
        <x:v>N^=D</x:v>
      </x:c>
      <x:c r="D11" t="str">
        <x:v>L-</x:v>
      </x:c>
      <x:c r="E11" t="str">
        <x:v>S-=I</x:v>
      </x:c>
      <x:c r="F11" t="str">
        <x:v>N-=D</x:v>
      </x:c>
      <x:c r="G11" t="str">
        <x:v>W^AI</x:v>
      </x:c>
      <x:c r="H11" t="str">
        <x:v>N-=N</x:v>
      </x:c>
      <x:c r="I11" t="str">
        <x:v>D-=M</x:v>
      </x:c>
      <x:c r="J11" t="str">
        <x:v>K-TN</x:v>
      </x:c>
      <x:c r="K11" t="str">
        <x:v>A^</x:v>
      </x:c>
    </x:row>
    <x:row r="12">
      <x:c r="A12" t="str">
        <x:v>Boy</x:v>
      </x:c>
      <x:c r="B12" t="str">
        <x:v>jt</x:v>
      </x:c>
      <x:c r="C12" t="str">
        <x:v>N^=I</x:v>
      </x:c>
      <x:c r="D12" t="str">
        <x:v>R^=N</x:v>
      </x:c>
      <x:c r="E12" t="str">
        <x:v>L-</x:v>
      </x:c>
      <x:c r="F12" t="str">
        <x:v>Y-=D</x:v>
      </x:c>
      <x:c r="G12" t="str">
        <x:v>A^=I</x:v>
      </x:c>
      <x:c r="H12" t="str">
        <x:v>Y^ND</x:v>
      </x:c>
      <x:c r="I12" t="str">
        <x:v>S-</x:v>
      </x:c>
      <x:c r="J12" t="str">
        <x:v>T^=M</x:v>
      </x:c>
      <x:c r="K12" t="str">
        <x:v>A-=N</x:v>
      </x:c>
    </x:row>
    <x:row r="13">
      <x:c r="A13" t="str">
        <x:v>Boy</x:v>
      </x:c>
      <x:c r="B13" t="str">
        <x:v>leo</x:v>
      </x:c>
      <x:c r="C13" t="str">
        <x:v>N^=D</x:v>
      </x:c>
      <x:c r="D13" t="str">
        <x:v>L^=M</x:v>
      </x:c>
      <x:c r="E13" t="str">
        <x:v>L-=N</x:v>
      </x:c>
      <x:c r="F13" t="str">
        <x:v>Y-=I</x:v>
      </x:c>
      <x:c r="G13" t="str">
        <x:v>A^=I</x:v>
      </x:c>
      <x:c r="H13" t="str">
        <x:v>N^=D</x:v>
      </x:c>
      <x:c r="I13" t="str">
        <x:v>S-DN</x:v>
      </x:c>
      <x:c r="J13" t="str">
        <x:v>T-=I</x:v>
      </x:c>
      <x:c r="K13" t="str">
        <x:v>A^</x:v>
      </x:c>
    </x:row>
    <x:row r="14">
      <x:c r="A14" t="str">
        <x:v>Boy</x:v>
      </x:c>
      <x:c r="B14" t="str">
        <x:v>james</x:v>
      </x:c>
      <x:c r="C14" t="str">
        <x:v>N-=D</x:v>
      </x:c>
      <x:c r="D14" t="str">
        <x:v>L^=M</x:v>
      </x:c>
      <x:c r="E14" t="str">
        <x:v>L-=D</x:v>
      </x:c>
      <x:c r="F14" t="str">
        <x:v>Y-</x:v>
      </x:c>
      <x:c r="G14" t="str">
        <x:v>A^</x:v>
      </x:c>
      <x:c r="H14" t="str">
        <x:v>N-</x:v>
      </x:c>
      <x:c r="I14" t="str">
        <x:v>D-SI</x:v>
      </x:c>
      <x:c r="J14" t="str">
        <x:v>T-=I</x:v>
      </x:c>
      <x:c r="K14" t="str">
        <x:v>A-=N</x:v>
      </x:c>
    </x:row>
    <x:row r="15">
      <x:c r="A15" t="str">
        <x:v>Boy</x:v>
      </x:c>
      <x:c r="B15" t="str">
        <x:v>ayaan</x:v>
      </x:c>
      <x:c r="C15" t="str">
        <x:v>N^=N</x:v>
      </x:c>
      <x:c r="D15" t="str">
        <x:v>L^=M</x:v>
      </x:c>
      <x:c r="E15" t="str">
        <x:v>L^=I</x:v>
      </x:c>
      <x:c r="F15" t="str">
        <x:v>Y-</x:v>
      </x:c>
      <x:c r="G15" t="str">
        <x:v>I^</x:v>
      </x:c>
      <x:c r="H15" t="str">
        <x:v>Y^NI</x:v>
      </x:c>
      <x:c r="I15" t="str">
        <x:v>D^=N</x:v>
      </x:c>
      <x:c r="J15" t="str">
        <x:v>T-=D</x:v>
      </x:c>
      <x:c r="K15" t="str">
        <x:v>A^=D</x:v>
      </x:c>
    </x:row>
    <x:row r="16">
      <x:c r="A16" t="str">
        <x:v>Girl</x:v>
      </x:c>
      <x:c r="B16" t="str">
        <x:v>jasmine</x:v>
      </x:c>
      <x:c r="C16" t="str">
        <x:v>Y^=M</x:v>
      </x:c>
      <x:c r="D16" t="str">
        <x:v>R-=I</x:v>
      </x:c>
      <x:c r="E16" t="str">
        <x:v>S^=I</x:v>
      </x:c>
      <x:c r="F16" t="str">
        <x:v>N-</x:v>
      </x:c>
      <x:c r="G16" t="str">
        <x:v>A^</x:v>
      </x:c>
      <x:c r="H16" t="str">
        <x:v>N^=D</x:v>
      </x:c>
      <x:c r="I16" t="str">
        <x:v>S-DD</x:v>
      </x:c>
      <x:c r="J16" t="str">
        <x:v>K^TN</x:v>
      </x:c>
      <x:c r="K16" t="str">
        <x:v>A^=N</x:v>
      </x:c>
    </x:row>
    <x:row r="17">
      <x:c r="A17" t="str">
        <x:v>Girl</x:v>
      </x:c>
      <x:c r="B17" t="str">
        <x:v>cathleen</x:v>
      </x:c>
      <x:c r="C17" t="str">
        <x:v>N^=I</x:v>
      </x:c>
      <x:c r="D17" t="str">
        <x:v>L^=D</x:v>
      </x:c>
      <x:c r="E17" t="str">
        <x:v>S-LD</x:v>
      </x:c>
      <x:c r="F17" t="str">
        <x:v>N-=M</x:v>
      </x:c>
      <x:c r="G17" t="str">
        <x:v>A^=N</x:v>
      </x:c>
      <x:c r="H17" t="str">
        <x:v>Y^</x:v>
      </x:c>
      <x:c r="I17" t="str">
        <x:v>D-SN</x:v>
      </x:c>
      <x:c r="J17" t="str">
        <x:v>T^</x:v>
      </x:c>
      <x:c r="K17" t="str">
        <x:v>A^=I</x:v>
      </x:c>
    </x:row>
    <x:row r="18">
      <x:c r="A18" t="str">
        <x:v>Girl</x:v>
      </x:c>
      <x:c r="B18" t="str">
        <x:v>edith</x:v>
      </x:c>
      <x:c r="C18" t="str">
        <x:v>N-</x:v>
      </x:c>
      <x:c r="D18" t="str">
        <x:v>R-</x:v>
      </x:c>
      <x:c r="E18" t="str">
        <x:v>L-=D</x:v>
      </x:c>
      <x:c r="F18" t="str">
        <x:v>N-=D</x:v>
      </x:c>
      <x:c r="G18" t="str">
        <x:v>A^=N</x:v>
      </x:c>
      <x:c r="H18" t="str">
        <x:v>N-=N</x:v>
      </x:c>
      <x:c r="I18" t="str">
        <x:v>S-=I</x:v>
      </x:c>
      <x:c r="J18" t="str">
        <x:v>T-=M</x:v>
      </x:c>
      <x:c r="K18" t="str">
        <x:v>A^=I</x:v>
      </x:c>
    </x:row>
    <x:row r="19">
      <x:c r="A19" t="str">
        <x:v>Girl</x:v>
      </x:c>
      <x:c r="B19" t="str">
        <x:v>sophiah</x:v>
      </x:c>
      <x:c r="C19" t="str">
        <x:v>Y^=M</x:v>
      </x:c>
      <x:c r="D19" t="str">
        <x:v>R^</x:v>
      </x:c>
      <x:c r="E19" t="str">
        <x:v>L-SD</x:v>
      </x:c>
      <x:c r="F19" t="str">
        <x:v>Y-=D</x:v>
      </x:c>
      <x:c r="G19" t="str">
        <x:v>A^=1</x:v>
      </x:c>
      <x:c r="H19" t="str">
        <x:v>Y-</x:v>
      </x:c>
      <x:c r="I19" t="str">
        <x:v>D^SD</x:v>
      </x:c>
      <x:c r="J19" t="str">
        <x:v>T-KN</x:v>
      </x:c>
      <x:c r="K19" t="str">
        <x:v>A^=I</x:v>
      </x:c>
    </x:row>
    <x:row r="20">
      <x:c r="A20" t="str">
        <x:v>Girl</x:v>
      </x:c>
      <x:c r="B20" t="str">
        <x:v>angela</x:v>
      </x:c>
      <x:c r="C20" t="str">
        <x:v>Y^=I</x:v>
      </x:c>
      <x:c r="D20" t="str">
        <x:v>R-=D</x:v>
      </x:c>
      <x:c r="E20" t="str">
        <x:v>L-SI</x:v>
      </x:c>
      <x:c r="F20" t="str">
        <x:v>Y^=M</x:v>
      </x:c>
      <x:c r="G20" t="str">
        <x:v>A^</x:v>
      </x:c>
      <x:c r="H20" t="str">
        <x:v>N^=I</x:v>
      </x:c>
      <x:c r="I20" t="str">
        <x:v>S-DD</x:v>
      </x:c>
      <x:c r="J20" t="str">
        <x:v>K^TN</x:v>
      </x:c>
      <x:c r="K20" t="str">
        <x:v>A^=N</x:v>
      </x:c>
    </x:row>
    <x:row r="21">
      <x:c r="A21" t="str">
        <x:v>Girl</x:v>
      </x:c>
      <x:c r="B21" t="str">
        <x:v>issabel</x:v>
      </x:c>
      <x:c r="C21" t="str">
        <x:v>Y-</x:v>
      </x:c>
      <x:c r="D21" t="str">
        <x:v>L^=I</x:v>
      </x:c>
      <x:c r="E21" t="str">
        <x:v>S-LN</x:v>
      </x:c>
      <x:c r="F21" t="str">
        <x:v>Y^=I</x:v>
      </x:c>
      <x:c r="G21" t="str">
        <x:v>A^=M</x:v>
      </x:c>
      <x:c r="H21" t="str">
        <x:v>Y-NN</x:v>
      </x:c>
      <x:c r="I21" t="str">
        <x:v>D^</x:v>
      </x:c>
      <x:c r="J21" t="str">
        <x:v>T^=D</x:v>
      </x:c>
      <x:c r="K21" t="str">
        <x:v>A^=D</x:v>
      </x:c>
    </x:row>
    <x:row r="22">
      <x:c r="A22" t="str">
        <x:v>Girl</x:v>
      </x:c>
      <x:c r="B22" t="str">
        <x:v>lydia</x:v>
      </x:c>
      <x:c r="C22" t="str">
        <x:v>N-=D</x:v>
      </x:c>
      <x:c r="D22" t="str">
        <x:v>L-=N</x:v>
      </x:c>
      <x:c r="E22" t="str">
        <x:v>S-=D</x:v>
      </x:c>
      <x:c r="F22" t="str">
        <x:v>N^=M</x:v>
      </x:c>
      <x:c r="G22" t="str">
        <x:v>A^=N</x:v>
      </x:c>
      <x:c r="H22" t="str">
        <x:v>N-=I</x:v>
      </x:c>
      <x:c r="I22" t="str">
        <x:v>D-SN</x:v>
      </x:c>
      <x:c r="J22" t="str">
        <x:v>K-</x:v>
      </x:c>
      <x:c r="K22" t="str">
        <x:v>A-=I</x:v>
      </x:c>
    </x:row>
  </x:sheetData>
  <x:pageMargins left="0.7" right="0.7" top="0.75" bottom="0.75" header="0.3" footer="0.3"/>
  <x:tableParts count="1">
    <x:tablePart xmlns:r="http://schemas.openxmlformats.org/officeDocument/2006/relationships" r:id="Rd7fe3de5ed7c41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10.920000076293945" hidden="0" customWidth="1"/>
    <x:col min="3" max="3" width="10.920000076293945" hidden="0" customWidth="1"/>
    <x:col min="4" max="4" width="10.920000076293945" hidden="0" customWidth="1"/>
    <x:col min="5" max="5" width="10.920000076293945" hidden="0" customWidth="1"/>
    <x:col min="6" max="6" width="10.920000076293945" hidden="0" customWidth="1"/>
    <x:col min="7" max="7" width="10.920000076293945" hidden="0" customWidth="1"/>
    <x:col min="8" max="8" width="10.920000076293945" hidden="0" customWidth="1"/>
    <x:col min="9" max="9" width="10.920000076293945" hidden="0" customWidth="1"/>
    <x:col min="10" max="10" width="10.920000076293945" hidden="0" customWidth="1"/>
    <x:col min="11" max="11" width="10.920000076293945" hidden="0" customWidth="1"/>
    <x:col min="12" max="12" width="10.920000076293945" hidden="0" customWidth="1"/>
    <x:col min="13" max="13" width="10.920000076293945" hidden="0" customWidth="1"/>
  </x:cols>
  <x:sheetData>
    <x:row r="1">
      <x:c r="A1" s="4" t="str">
        <x:v>Key</x:v>
      </x:c>
      <x:c r="B1" s="4" t="str">
        <x:v>Person</x:v>
      </x:c>
      <x:c r="C1" s="4" t="str">
        <x:v>Question</x:v>
      </x:c>
      <x:c r="D1" s="4" t="str">
        <x:v>Code</x:v>
      </x:c>
      <x:c r="E1" s="4" t="str">
        <x:v>Norm</x:v>
      </x:c>
      <x:c r="F1" s="4" t="str">
        <x:v>Pos</x:v>
      </x:c>
      <x:c r="G1" s="4" t="str">
        <x:v>Rest</x:v>
      </x:c>
      <x:c r="H1" s="4" t="str">
        <x:v>Actual</x:v>
      </x:c>
      <x:c r="I1" s="5" t="str">
        <x:v>Strength</x:v>
      </x:c>
      <x:c r="J1" s="4" t="str">
        <x:v>Want raw</x:v>
      </x:c>
      <x:c r="K1" s="4" t="str">
        <x:v>Desired</x:v>
      </x:c>
      <x:c r="L1" s="4" t="str">
        <x:v>Care code</x:v>
      </x:c>
      <x:c r="M1" s="5" t="str">
        <x:v>Care</x:v>
      </x:c>
    </x:row>
    <x:row r="2">
      <x:c r="A2" t="str">
        <x:v>joshuah|God</x:v>
      </x:c>
      <x:c r="B2" t="str">
        <x:v>joshuah</x:v>
      </x:c>
      <x:c r="C2" t="str">
        <x:v>God</x:v>
      </x:c>
      <x:c r="D2" t="str">
        <x:f>INDEX(Data!$C$2:$K$22,MATCH(B2,Data!$B$2:$B$22,0),MATCH(C2,Data!$C$1:$K$1,0))</x:f>
        <x:v>N-</x:v>
      </x:c>
      <x:c r="E2" t="str">
        <x:f>UPPER(SUBSTITUTE(TRIM(D2),"1","I"))</x:f>
        <x:v>N-</x:v>
      </x:c>
      <x:c r="F2" t="n">
        <x:f>MIN(IFERROR(FIND("^",E2),999),IFERROR(FIND("-",E2),999))</x:f>
        <x:v>2</x:v>
      </x:c>
      <x:c r="G2" t="str">
        <x:f>IF(OR(E2="",F2=999,LEN(E2)&lt;=F2),"",MID(E2,F2+1,99))</x:f>
      </x:c>
      <x:c r="H2" t="str">
        <x:f>IF(OR(E2="",F2=999),"",LEFT(E2,F2-1))</x:f>
        <x:v>N</x:v>
      </x:c>
      <x:c r="I2" t="n">
        <x:f>IF(MID(E2,F2,1)="-",0.75,IF(MID(E2,F2,1)="^",1,0))</x:f>
        <x:v>0.75</x:v>
      </x:c>
      <x:c r="J2" t="str">
        <x:f>IF(G2="","",IF(LEN(G2)=1,"=",LEFT(G2,LEN(G2)-1)))</x:f>
      </x:c>
      <x:c r="K2" t="str">
        <x:f>IF(J2="","",IF(LEFT(J2,1)="=",H2,J2))</x:f>
      </x:c>
      <x:c r="L2" t="str">
        <x:f>IF(G2="","",RIGHT(G2,1))</x:f>
      </x:c>
      <x:c r="M2" t="n">
        <x:f>IF(L2="D",5,IF(L2="N",10,IF(L2="I",15,IF(L2="M",40,0))))</x:f>
        <x:v>0</x:v>
      </x:c>
    </x:row>
    <x:row r="3">
      <x:c r="A3" t="str">
        <x:v>joshuah|Politics</x:v>
      </x:c>
      <x:c r="B3" t="str">
        <x:v>joshuah</x:v>
      </x:c>
      <x:c r="C3" t="str">
        <x:v>Politics</x:v>
      </x:c>
      <x:c r="D3" t="str">
        <x:f>INDEX(Data!$C$2:$K$22,MATCH(B3,Data!$B$2:$B$22,0),MATCH(C3,Data!$C$1:$K$1,0))</x:f>
        <x:v>L-=I</x:v>
      </x:c>
      <x:c r="E3" t="str">
        <x:f>UPPER(SUBSTITUTE(TRIM(D3),"1","I"))</x:f>
        <x:v>L-=I</x:v>
      </x:c>
      <x:c r="F3" t="n">
        <x:f>MIN(IFERROR(FIND("^",E3),999),IFERROR(FIND("-",E3),999))</x:f>
        <x:v>2</x:v>
      </x:c>
      <x:c r="G3" t="str">
        <x:f>IF(OR(E3="",F3=999,LEN(E3)&lt;=F3),"",MID(E3,F3+1,99))</x:f>
        <x:v>=I</x:v>
      </x:c>
      <x:c r="H3" t="str">
        <x:f>IF(OR(E3="",F3=999),"",LEFT(E3,F3-1))</x:f>
        <x:v>L</x:v>
      </x:c>
      <x:c r="I3" t="n">
        <x:f>IF(MID(E3,F3,1)="-",0.75,IF(MID(E3,F3,1)="^",1,0))</x:f>
        <x:v>0.75</x:v>
      </x:c>
      <x:c r="J3" t="str">
        <x:f>IF(G3="","",IF(LEN(G3)=1,"=",LEFT(G3,LEN(G3)-1)))</x:f>
        <x:v>=</x:v>
      </x:c>
      <x:c r="K3" t="str">
        <x:f>IF(J3="","",IF(LEFT(J3,1)="=",H3,J3))</x:f>
        <x:v>L</x:v>
      </x:c>
      <x:c r="L3" t="str">
        <x:f>IF(G3="","",RIGHT(G3,1))</x:f>
        <x:v>I</x:v>
      </x:c>
      <x:c r="M3" t="n">
        <x:f>IF(L3="D",5,IF(L3="N",10,IF(L3="I",15,IF(L3="M",40,0))))</x:f>
        <x:v>15</x:v>
      </x:c>
    </x:row>
    <x:row r="4">
      <x:c r="A4" t="str">
        <x:v>joshuah|Marriage</x:v>
      </x:c>
      <x:c r="B4" t="str">
        <x:v>joshuah</x:v>
      </x:c>
      <x:c r="C4" t="str">
        <x:v>Marriage</x:v>
      </x:c>
      <x:c r="D4" t="str">
        <x:f>INDEX(Data!$C$2:$K$22,MATCH(B4,Data!$B$2:$B$22,0),MATCH(C4,Data!$C$1:$K$1,0))</x:f>
        <x:v>S^=I</x:v>
      </x:c>
      <x:c r="E4" t="str">
        <x:f>UPPER(SUBSTITUTE(TRIM(D4),"1","I"))</x:f>
        <x:v>S^=I</x:v>
      </x:c>
      <x:c r="F4" t="n">
        <x:f>MIN(IFERROR(FIND("^",E4),999),IFERROR(FIND("-",E4),999))</x:f>
        <x:v>2</x:v>
      </x:c>
      <x:c r="G4" t="str">
        <x:f>IF(OR(E4="",F4=999,LEN(E4)&lt;=F4),"",MID(E4,F4+1,99))</x:f>
        <x:v>=I</x:v>
      </x:c>
      <x:c r="H4" t="str">
        <x:f>IF(OR(E4="",F4=999),"",LEFT(E4,F4-1))</x:f>
        <x:v>S</x:v>
      </x:c>
      <x:c r="I4" t="n">
        <x:f>IF(MID(E4,F4,1)="-",0.75,IF(MID(E4,F4,1)="^",1,0))</x:f>
        <x:v>1</x:v>
      </x:c>
      <x:c r="J4" t="str">
        <x:f>IF(G4="","",IF(LEN(G4)=1,"=",LEFT(G4,LEN(G4)-1)))</x:f>
        <x:v>=</x:v>
      </x:c>
      <x:c r="K4" t="str">
        <x:f>IF(J4="","",IF(LEFT(J4,1)="=",H4,J4))</x:f>
        <x:v>S</x:v>
      </x:c>
      <x:c r="L4" t="str">
        <x:f>IF(G4="","",RIGHT(G4,1))</x:f>
        <x:v>I</x:v>
      </x:c>
      <x:c r="M4" t="n">
        <x:f>IF(L4="D",5,IF(L4="N",10,IF(L4="I",15,IF(L4="M",40,0))))</x:f>
        <x:v>15</x:v>
      </x:c>
    </x:row>
    <x:row r="5">
      <x:c r="A5" t="str">
        <x:v>joshuah|Children</x:v>
      </x:c>
      <x:c r="B5" t="str">
        <x:v>joshuah</x:v>
      </x:c>
      <x:c r="C5" t="str">
        <x:v>Children</x:v>
      </x:c>
      <x:c r="D5" t="str">
        <x:f>INDEX(Data!$C$2:$K$22,MATCH(B5,Data!$B$2:$B$22,0),MATCH(C5,Data!$C$1:$K$1,0))</x:f>
        <x:v>Y-=N</x:v>
      </x:c>
      <x:c r="E5" t="str">
        <x:f>UPPER(SUBSTITUTE(TRIM(D5),"1","I"))</x:f>
        <x:v>Y-=N</x:v>
      </x:c>
      <x:c r="F5" t="n">
        <x:f>MIN(IFERROR(FIND("^",E5),999),IFERROR(FIND("-",E5),999))</x:f>
        <x:v>2</x:v>
      </x:c>
      <x:c r="G5" t="str">
        <x:f>IF(OR(E5="",F5=999,LEN(E5)&lt;=F5),"",MID(E5,F5+1,99))</x:f>
        <x:v>=N</x:v>
      </x:c>
      <x:c r="H5" t="str">
        <x:f>IF(OR(E5="",F5=999),"",LEFT(E5,F5-1))</x:f>
        <x:v>Y</x:v>
      </x:c>
      <x:c r="I5" t="n">
        <x:f>IF(MID(E5,F5,1)="-",0.75,IF(MID(E5,F5,1)="^",1,0))</x:f>
        <x:v>0.75</x:v>
      </x:c>
      <x:c r="J5" t="str">
        <x:f>IF(G5="","",IF(LEN(G5)=1,"=",LEFT(G5,LEN(G5)-1)))</x:f>
        <x:v>=</x:v>
      </x:c>
      <x:c r="K5" t="str">
        <x:f>IF(J5="","",IF(LEFT(J5,1)="=",H5,J5))</x:f>
        <x:v>Y</x:v>
      </x:c>
      <x:c r="L5" t="str">
        <x:f>IF(G5="","",RIGHT(G5,1))</x:f>
        <x:v>N</x:v>
      </x:c>
      <x:c r="M5" t="n">
        <x:f>IF(L5="D",5,IF(L5="N",10,IF(L5="I",15,IF(L5="M",40,0))))</x:f>
        <x:v>10</x:v>
      </x:c>
    </x:row>
    <x:row r="6">
      <x:c r="A6" t="str">
        <x:v>joshuah|Ethicity</x:v>
      </x:c>
      <x:c r="B6" t="str">
        <x:v>joshuah</x:v>
      </x:c>
      <x:c r="C6" t="str">
        <x:v>Ethicity</x:v>
      </x:c>
      <x:c r="D6" t="str">
        <x:f>INDEX(Data!$C$2:$K$22,MATCH(B6,Data!$B$2:$B$22,0),MATCH(C6,Data!$C$1:$K$1,0))</x:f>
        <x:v>A^=D</x:v>
      </x:c>
      <x:c r="E6" t="str">
        <x:f>UPPER(SUBSTITUTE(TRIM(D6),"1","I"))</x:f>
        <x:v>A^=D</x:v>
      </x:c>
      <x:c r="F6" t="n">
        <x:f>MIN(IFERROR(FIND("^",E6),999),IFERROR(FIND("-",E6),999))</x:f>
        <x:v>2</x:v>
      </x:c>
      <x:c r="G6" t="str">
        <x:f>IF(OR(E6="",F6=999,LEN(E6)&lt;=F6),"",MID(E6,F6+1,99))</x:f>
        <x:v>=D</x:v>
      </x:c>
      <x:c r="H6" t="str">
        <x:f>IF(OR(E6="",F6=999),"",LEFT(E6,F6-1))</x:f>
        <x:v>A</x:v>
      </x:c>
      <x:c r="I6" t="n">
        <x:f>IF(MID(E6,F6,1)="-",0.75,IF(MID(E6,F6,1)="^",1,0))</x:f>
        <x:v>1</x:v>
      </x:c>
      <x:c r="J6" t="str">
        <x:f>IF(G6="","",IF(LEN(G6)=1,"=",LEFT(G6,LEN(G6)-1)))</x:f>
        <x:v>=</x:v>
      </x:c>
      <x:c r="K6" t="str">
        <x:f>IF(J6="","",IF(LEFT(J6,1)="=",H6,J6))</x:f>
        <x:v>A</x:v>
      </x:c>
      <x:c r="L6" t="str">
        <x:f>IF(G6="","",RIGHT(G6,1))</x:f>
        <x:v>D</x:v>
      </x:c>
      <x:c r="M6" t="n">
        <x:f>IF(L6="D",5,IF(L6="N",10,IF(L6="I",15,IF(L6="M",40,0))))</x:f>
        <x:v>5</x:v>
      </x:c>
    </x:row>
    <x:row r="7">
      <x:c r="A7" t="str">
        <x:v>joshuah|Past</x:v>
      </x:c>
      <x:c r="B7" t="str">
        <x:v>joshuah</x:v>
      </x:c>
      <x:c r="C7" t="str">
        <x:v>Past</x:v>
      </x:c>
      <x:c r="D7" t="str">
        <x:f>INDEX(Data!$C$2:$K$22,MATCH(B7,Data!$B$2:$B$22,0),MATCH(C7,Data!$C$1:$K$1,0))</x:f>
        <x:v>Y-NM</x:v>
      </x:c>
      <x:c r="E7" t="str">
        <x:f>UPPER(SUBSTITUTE(TRIM(D7),"1","I"))</x:f>
        <x:v>Y-NM</x:v>
      </x:c>
      <x:c r="F7" t="n">
        <x:f>MIN(IFERROR(FIND("^",E7),999),IFERROR(FIND("-",E7),999))</x:f>
        <x:v>2</x:v>
      </x:c>
      <x:c r="G7" t="str">
        <x:f>IF(OR(E7="",F7=999,LEN(E7)&lt;=F7),"",MID(E7,F7+1,99))</x:f>
        <x:v>NM</x:v>
      </x:c>
      <x:c r="H7" t="str">
        <x:f>IF(OR(E7="",F7=999),"",LEFT(E7,F7-1))</x:f>
        <x:v>Y</x:v>
      </x:c>
      <x:c r="I7" t="n">
        <x:f>IF(MID(E7,F7,1)="-",0.75,IF(MID(E7,F7,1)="^",1,0))</x:f>
        <x:v>0.75</x:v>
      </x:c>
      <x:c r="J7" t="str">
        <x:f>IF(G7="","",IF(LEN(G7)=1,"=",LEFT(G7,LEN(G7)-1)))</x:f>
        <x:v>N</x:v>
      </x:c>
      <x:c r="K7" t="str">
        <x:f>IF(J7="","",IF(LEFT(J7,1)="=",H7,J7))</x:f>
        <x:v>N</x:v>
      </x:c>
      <x:c r="L7" t="str">
        <x:f>IF(G7="","",RIGHT(G7,1))</x:f>
        <x:v>M</x:v>
      </x:c>
      <x:c r="M7" t="n">
        <x:f>IF(L7="D",5,IF(L7="N",10,IF(L7="I",15,IF(L7="M",40,0))))</x:f>
        <x:v>40</x:v>
      </x:c>
    </x:row>
    <x:row r="8">
      <x:c r="A8" t="str">
        <x:v>joshuah|D/S</x:v>
      </x:c>
      <x:c r="B8" t="str">
        <x:v>joshuah</x:v>
      </x:c>
      <x:c r="C8" t="str">
        <x:v>D/S</x:v>
      </x:c>
      <x:c r="D8" t="str">
        <x:f>INDEX(Data!$C$2:$K$22,MATCH(B8,Data!$B$2:$B$22,0),MATCH(C8,Data!$C$1:$K$1,0))</x:f>
        <x:v>S-=D</x:v>
      </x:c>
      <x:c r="E8" t="str">
        <x:f>UPPER(SUBSTITUTE(TRIM(D8),"1","I"))</x:f>
        <x:v>S-=D</x:v>
      </x:c>
      <x:c r="F8" t="n">
        <x:f>MIN(IFERROR(FIND("^",E8),999),IFERROR(FIND("-",E8),999))</x:f>
        <x:v>2</x:v>
      </x:c>
      <x:c r="G8" t="str">
        <x:f>IF(OR(E8="",F8=999,LEN(E8)&lt;=F8),"",MID(E8,F8+1,99))</x:f>
        <x:v>=D</x:v>
      </x:c>
      <x:c r="H8" t="str">
        <x:f>IF(OR(E8="",F8=999),"",LEFT(E8,F8-1))</x:f>
        <x:v>S</x:v>
      </x:c>
      <x:c r="I8" t="n">
        <x:f>IF(MID(E8,F8,1)="-",0.75,IF(MID(E8,F8,1)="^",1,0))</x:f>
        <x:v>0.75</x:v>
      </x:c>
      <x:c r="J8" t="str">
        <x:f>IF(G8="","",IF(LEN(G8)=1,"=",LEFT(G8,LEN(G8)-1)))</x:f>
        <x:v>=</x:v>
      </x:c>
      <x:c r="K8" t="str">
        <x:f>IF(J8="","",IF(LEFT(J8,1)="=",H8,J8))</x:f>
        <x:v>S</x:v>
      </x:c>
      <x:c r="L8" t="str">
        <x:f>IF(G8="","",RIGHT(G8,1))</x:f>
        <x:v>D</x:v>
      </x:c>
      <x:c r="M8" t="n">
        <x:f>IF(L8="D",5,IF(L8="N",10,IF(L8="I",15,IF(L8="M",40,0))))</x:f>
        <x:v>5</x:v>
      </x:c>
    </x:row>
    <x:row r="9">
      <x:c r="A9" t="str">
        <x:v>joshuah|True/kind</x:v>
      </x:c>
      <x:c r="B9" t="str">
        <x:v>joshuah</x:v>
      </x:c>
      <x:c r="C9" t="str">
        <x:v>True/kind</x:v>
      </x:c>
      <x:c r="D9" t="str">
        <x:f>INDEX(Data!$C$2:$K$22,MATCH(B9,Data!$B$2:$B$22,0),MATCH(C9,Data!$C$1:$K$1,0))</x:f>
        <x:v>T-=N</x:v>
      </x:c>
      <x:c r="E9" t="str">
        <x:f>UPPER(SUBSTITUTE(TRIM(D9),"1","I"))</x:f>
        <x:v>T-=N</x:v>
      </x:c>
      <x:c r="F9" t="n">
        <x:f>MIN(IFERROR(FIND("^",E9),999),IFERROR(FIND("-",E9),999))</x:f>
        <x:v>2</x:v>
      </x:c>
      <x:c r="G9" t="str">
        <x:f>IF(OR(E9="",F9=999,LEN(E9)&lt;=F9),"",MID(E9,F9+1,99))</x:f>
        <x:v>=N</x:v>
      </x:c>
      <x:c r="H9" t="str">
        <x:f>IF(OR(E9="",F9=999),"",LEFT(E9,F9-1))</x:f>
        <x:v>T</x:v>
      </x:c>
      <x:c r="I9" t="n">
        <x:f>IF(MID(E9,F9,1)="-",0.75,IF(MID(E9,F9,1)="^",1,0))</x:f>
        <x:v>0.75</x:v>
      </x:c>
      <x:c r="J9" t="str">
        <x:f>IF(G9="","",IF(LEN(G9)=1,"=",LEFT(G9,LEN(G9)-1)))</x:f>
        <x:v>=</x:v>
      </x:c>
      <x:c r="K9" t="str">
        <x:f>IF(J9="","",IF(LEFT(J9,1)="=",H9,J9))</x:f>
        <x:v>T</x:v>
      </x:c>
      <x:c r="L9" t="str">
        <x:f>IF(G9="","",RIGHT(G9,1))</x:f>
        <x:v>N</x:v>
      </x:c>
      <x:c r="M9" t="n">
        <x:f>IF(L9="D",5,IF(L9="N",10,IF(L9="I",15,IF(L9="M",40,0))))</x:f>
        <x:v>10</x:v>
      </x:c>
    </x:row>
    <x:row r="10">
      <x:c r="A10" t="str">
        <x:v>joshuah|Animal</x:v>
      </x:c>
      <x:c r="B10" t="str">
        <x:v>joshuah</x:v>
      </x:c>
      <x:c r="C10" t="str">
        <x:v>Animal</x:v>
      </x:c>
      <x:c r="D10" t="str">
        <x:f>INDEX(Data!$C$2:$K$22,MATCH(B10,Data!$B$2:$B$22,0),MATCH(C10,Data!$C$1:$K$1,0))</x:f>
        <x:v>A-</x:v>
      </x:c>
      <x:c r="E10" t="str">
        <x:f>UPPER(SUBSTITUTE(TRIM(D10),"1","I"))</x:f>
        <x:v>A-</x:v>
      </x:c>
      <x:c r="F10" t="n">
        <x:f>MIN(IFERROR(FIND("^",E10),999),IFERROR(FIND("-",E10),999))</x:f>
        <x:v>2</x:v>
      </x:c>
      <x:c r="G10" t="str">
        <x:f>IF(OR(E10="",F10=999,LEN(E10)&lt;=F10),"",MID(E10,F10+1,99))</x:f>
      </x:c>
      <x:c r="H10" t="str">
        <x:f>IF(OR(E10="",F10=999),"",LEFT(E10,F10-1))</x:f>
        <x:v>A</x:v>
      </x:c>
      <x:c r="I10" t="n">
        <x:f>IF(MID(E10,F10,1)="-",0.75,IF(MID(E10,F10,1)="^",1,0))</x:f>
        <x:v>0.75</x:v>
      </x:c>
      <x:c r="J10" t="str">
        <x:f>IF(G10="","",IF(LEN(G10)=1,"=",LEFT(G10,LEN(G10)-1)))</x:f>
      </x:c>
      <x:c r="K10" t="str">
        <x:f>IF(J10="","",IF(LEFT(J10,1)="=",H10,J10))</x:f>
      </x:c>
      <x:c r="L10" t="str">
        <x:f>IF(G10="","",RIGHT(G10,1))</x:f>
      </x:c>
      <x:c r="M10" t="n">
        <x:f>IF(L10="D",5,IF(L10="N",10,IF(L10="I",15,IF(L10="M",40,0))))</x:f>
        <x:v>0</x:v>
      </x:c>
    </x:row>
    <x:row r="11">
      <x:c r="A11" t="str">
        <x:v>alex|God</x:v>
      </x:c>
      <x:c r="B11" t="str">
        <x:v>alex</x:v>
      </x:c>
      <x:c r="C11" t="str">
        <x:v>God</x:v>
      </x:c>
      <x:c r="D11" t="str">
        <x:f>INDEX(Data!$C$2:$K$22,MATCH(B11,Data!$B$2:$B$22,0),MATCH(C11,Data!$C$1:$K$1,0))</x:f>
        <x:v>N^=N</x:v>
      </x:c>
      <x:c r="E11" t="str">
        <x:f>UPPER(SUBSTITUTE(TRIM(D11),"1","I"))</x:f>
        <x:v>N^=N</x:v>
      </x:c>
      <x:c r="F11" t="n">
        <x:f>MIN(IFERROR(FIND("^",E11),999),IFERROR(FIND("-",E11),999))</x:f>
        <x:v>2</x:v>
      </x:c>
      <x:c r="G11" t="str">
        <x:f>IF(OR(E11="",F11=999,LEN(E11)&lt;=F11),"",MID(E11,F11+1,99))</x:f>
        <x:v>=N</x:v>
      </x:c>
      <x:c r="H11" t="str">
        <x:f>IF(OR(E11="",F11=999),"",LEFT(E11,F11-1))</x:f>
        <x:v>N</x:v>
      </x:c>
      <x:c r="I11" t="n">
        <x:f>IF(MID(E11,F11,1)="-",0.75,IF(MID(E11,F11,1)="^",1,0))</x:f>
        <x:v>1</x:v>
      </x:c>
      <x:c r="J11" t="str">
        <x:f>IF(G11="","",IF(LEN(G11)=1,"=",LEFT(G11,LEN(G11)-1)))</x:f>
        <x:v>=</x:v>
      </x:c>
      <x:c r="K11" t="str">
        <x:f>IF(J11="","",IF(LEFT(J11,1)="=",H11,J11))</x:f>
        <x:v>N</x:v>
      </x:c>
      <x:c r="L11" t="str">
        <x:f>IF(G11="","",RIGHT(G11,1))</x:f>
        <x:v>N</x:v>
      </x:c>
      <x:c r="M11" t="n">
        <x:f>IF(L11="D",5,IF(L11="N",10,IF(L11="I",15,IF(L11="M",40,0))))</x:f>
        <x:v>10</x:v>
      </x:c>
    </x:row>
    <x:row r="12">
      <x:c r="A12" t="str">
        <x:v>alex|Politics</x:v>
      </x:c>
      <x:c r="B12" t="str">
        <x:v>alex</x:v>
      </x:c>
      <x:c r="C12" t="str">
        <x:v>Politics</x:v>
      </x:c>
      <x:c r="D12" t="str">
        <x:f>INDEX(Data!$C$2:$K$22,MATCH(B12,Data!$B$2:$B$22,0),MATCH(C12,Data!$C$1:$K$1,0))</x:f>
        <x:v>R-=N</x:v>
      </x:c>
      <x:c r="E12" t="str">
        <x:f>UPPER(SUBSTITUTE(TRIM(D12),"1","I"))</x:f>
        <x:v>R-=N</x:v>
      </x:c>
      <x:c r="F12" t="n">
        <x:f>MIN(IFERROR(FIND("^",E12),999),IFERROR(FIND("-",E12),999))</x:f>
        <x:v>2</x:v>
      </x:c>
      <x:c r="G12" t="str">
        <x:f>IF(OR(E12="",F12=999,LEN(E12)&lt;=F12),"",MID(E12,F12+1,99))</x:f>
        <x:v>=N</x:v>
      </x:c>
      <x:c r="H12" t="str">
        <x:f>IF(OR(E12="",F12=999),"",LEFT(E12,F12-1))</x:f>
        <x:v>R</x:v>
      </x:c>
      <x:c r="I12" t="n">
        <x:f>IF(MID(E12,F12,1)="-",0.75,IF(MID(E12,F12,1)="^",1,0))</x:f>
        <x:v>0.75</x:v>
      </x:c>
      <x:c r="J12" t="str">
        <x:f>IF(G12="","",IF(LEN(G12)=1,"=",LEFT(G12,LEN(G12)-1)))</x:f>
        <x:v>=</x:v>
      </x:c>
      <x:c r="K12" t="str">
        <x:f>IF(J12="","",IF(LEFT(J12,1)="=",H12,J12))</x:f>
        <x:v>R</x:v>
      </x:c>
      <x:c r="L12" t="str">
        <x:f>IF(G12="","",RIGHT(G12,1))</x:f>
        <x:v>N</x:v>
      </x:c>
      <x:c r="M12" t="n">
        <x:f>IF(L12="D",5,IF(L12="N",10,IF(L12="I",15,IF(L12="M",40,0))))</x:f>
        <x:v>10</x:v>
      </x:c>
    </x:row>
    <x:row r="13">
      <x:c r="A13" t="str">
        <x:v>alex|Marriage</x:v>
      </x:c>
      <x:c r="B13" t="str">
        <x:v>alex</x:v>
      </x:c>
      <x:c r="C13" t="str">
        <x:v>Marriage</x:v>
      </x:c>
      <x:c r="D13" t="str">
        <x:f>INDEX(Data!$C$2:$K$22,MATCH(B13,Data!$B$2:$B$22,0),MATCH(C13,Data!$C$1:$K$1,0))</x:f>
        <x:v>L^=I</x:v>
      </x:c>
      <x:c r="E13" t="str">
        <x:f>UPPER(SUBSTITUTE(TRIM(D13),"1","I"))</x:f>
        <x:v>L^=I</x:v>
      </x:c>
      <x:c r="F13" t="n">
        <x:f>MIN(IFERROR(FIND("^",E13),999),IFERROR(FIND("-",E13),999))</x:f>
        <x:v>2</x:v>
      </x:c>
      <x:c r="G13" t="str">
        <x:f>IF(OR(E13="",F13=999,LEN(E13)&lt;=F13),"",MID(E13,F13+1,99))</x:f>
        <x:v>=I</x:v>
      </x:c>
      <x:c r="H13" t="str">
        <x:f>IF(OR(E13="",F13=999),"",LEFT(E13,F13-1))</x:f>
        <x:v>L</x:v>
      </x:c>
      <x:c r="I13" t="n">
        <x:f>IF(MID(E13,F13,1)="-",0.75,IF(MID(E13,F13,1)="^",1,0))</x:f>
        <x:v>1</x:v>
      </x:c>
      <x:c r="J13" t="str">
        <x:f>IF(G13="","",IF(LEN(G13)=1,"=",LEFT(G13,LEN(G13)-1)))</x:f>
        <x:v>=</x:v>
      </x:c>
      <x:c r="K13" t="str">
        <x:f>IF(J13="","",IF(LEFT(J13,1)="=",H13,J13))</x:f>
        <x:v>L</x:v>
      </x:c>
      <x:c r="L13" t="str">
        <x:f>IF(G13="","",RIGHT(G13,1))</x:f>
        <x:v>I</x:v>
      </x:c>
      <x:c r="M13" t="n">
        <x:f>IF(L13="D",5,IF(L13="N",10,IF(L13="I",15,IF(L13="M",40,0))))</x:f>
        <x:v>15</x:v>
      </x:c>
    </x:row>
    <x:row r="14">
      <x:c r="A14" t="str">
        <x:v>alex|Children</x:v>
      </x:c>
      <x:c r="B14" t="str">
        <x:v>alex</x:v>
      </x:c>
      <x:c r="C14" t="str">
        <x:v>Children</x:v>
      </x:c>
      <x:c r="D14" t="str">
        <x:f>INDEX(Data!$C$2:$K$22,MATCH(B14,Data!$B$2:$B$22,0),MATCH(C14,Data!$C$1:$K$1,0))</x:f>
        <x:v>Y^=I</x:v>
      </x:c>
      <x:c r="E14" t="str">
        <x:f>UPPER(SUBSTITUTE(TRIM(D14),"1","I"))</x:f>
        <x:v>Y^=I</x:v>
      </x:c>
      <x:c r="F14" t="n">
        <x:f>MIN(IFERROR(FIND("^",E14),999),IFERROR(FIND("-",E14),999))</x:f>
        <x:v>2</x:v>
      </x:c>
      <x:c r="G14" t="str">
        <x:f>IF(OR(E14="",F14=999,LEN(E14)&lt;=F14),"",MID(E14,F14+1,99))</x:f>
        <x:v>=I</x:v>
      </x:c>
      <x:c r="H14" t="str">
        <x:f>IF(OR(E14="",F14=999),"",LEFT(E14,F14-1))</x:f>
        <x:v>Y</x:v>
      </x:c>
      <x:c r="I14" t="n">
        <x:f>IF(MID(E14,F14,1)="-",0.75,IF(MID(E14,F14,1)="^",1,0))</x:f>
        <x:v>1</x:v>
      </x:c>
      <x:c r="J14" t="str">
        <x:f>IF(G14="","",IF(LEN(G14)=1,"=",LEFT(G14,LEN(G14)-1)))</x:f>
        <x:v>=</x:v>
      </x:c>
      <x:c r="K14" t="str">
        <x:f>IF(J14="","",IF(LEFT(J14,1)="=",H14,J14))</x:f>
        <x:v>Y</x:v>
      </x:c>
      <x:c r="L14" t="str">
        <x:f>IF(G14="","",RIGHT(G14,1))</x:f>
        <x:v>I</x:v>
      </x:c>
      <x:c r="M14" t="n">
        <x:f>IF(L14="D",5,IF(L14="N",10,IF(L14="I",15,IF(L14="M",40,0))))</x:f>
        <x:v>15</x:v>
      </x:c>
    </x:row>
    <x:row r="15">
      <x:c r="A15" t="str">
        <x:v>alex|Ethicity</x:v>
      </x:c>
      <x:c r="B15" t="str">
        <x:v>alex</x:v>
      </x:c>
      <x:c r="C15" t="str">
        <x:v>Ethicity</x:v>
      </x:c>
      <x:c r="D15" t="str">
        <x:f>INDEX(Data!$C$2:$K$22,MATCH(B15,Data!$B$2:$B$22,0),MATCH(C15,Data!$C$1:$K$1,0))</x:f>
        <x:v>A^=M</x:v>
      </x:c>
      <x:c r="E15" t="str">
        <x:f>UPPER(SUBSTITUTE(TRIM(D15),"1","I"))</x:f>
        <x:v>A^=M</x:v>
      </x:c>
      <x:c r="F15" t="n">
        <x:f>MIN(IFERROR(FIND("^",E15),999),IFERROR(FIND("-",E15),999))</x:f>
        <x:v>2</x:v>
      </x:c>
      <x:c r="G15" t="str">
        <x:f>IF(OR(E15="",F15=999,LEN(E15)&lt;=F15),"",MID(E15,F15+1,99))</x:f>
        <x:v>=M</x:v>
      </x:c>
      <x:c r="H15" t="str">
        <x:f>IF(OR(E15="",F15=999),"",LEFT(E15,F15-1))</x:f>
        <x:v>A</x:v>
      </x:c>
      <x:c r="I15" t="n">
        <x:f>IF(MID(E15,F15,1)="-",0.75,IF(MID(E15,F15,1)="^",1,0))</x:f>
        <x:v>1</x:v>
      </x:c>
      <x:c r="J15" t="str">
        <x:f>IF(G15="","",IF(LEN(G15)=1,"=",LEFT(G15,LEN(G15)-1)))</x:f>
        <x:v>=</x:v>
      </x:c>
      <x:c r="K15" t="str">
        <x:f>IF(J15="","",IF(LEFT(J15,1)="=",H15,J15))</x:f>
        <x:v>A</x:v>
      </x:c>
      <x:c r="L15" t="str">
        <x:f>IF(G15="","",RIGHT(G15,1))</x:f>
        <x:v>M</x:v>
      </x:c>
      <x:c r="M15" t="n">
        <x:f>IF(L15="D",5,IF(L15="N",10,IF(L15="I",15,IF(L15="M",40,0))))</x:f>
        <x:v>40</x:v>
      </x:c>
    </x:row>
    <x:row r="16">
      <x:c r="A16" t="str">
        <x:v>alex|Past</x:v>
      </x:c>
      <x:c r="B16" t="str">
        <x:v>alex</x:v>
      </x:c>
      <x:c r="C16" t="str">
        <x:v>Past</x:v>
      </x:c>
      <x:c r="D16" t="str">
        <x:f>INDEX(Data!$C$2:$K$22,MATCH(B16,Data!$B$2:$B$22,0),MATCH(C16,Data!$C$1:$K$1,0))</x:f>
        <x:v>Y-</x:v>
      </x:c>
      <x:c r="E16" t="str">
        <x:f>UPPER(SUBSTITUTE(TRIM(D16),"1","I"))</x:f>
        <x:v>Y-</x:v>
      </x:c>
      <x:c r="F16" t="n">
        <x:f>MIN(IFERROR(FIND("^",E16),999),IFERROR(FIND("-",E16),999))</x:f>
        <x:v>2</x:v>
      </x:c>
      <x:c r="G16" t="str">
        <x:f>IF(OR(E16="",F16=999,LEN(E16)&lt;=F16),"",MID(E16,F16+1,99))</x:f>
      </x:c>
      <x:c r="H16" t="str">
        <x:f>IF(OR(E16="",F16=999),"",LEFT(E16,F16-1))</x:f>
        <x:v>Y</x:v>
      </x:c>
      <x:c r="I16" t="n">
        <x:f>IF(MID(E16,F16,1)="-",0.75,IF(MID(E16,F16,1)="^",1,0))</x:f>
        <x:v>0.75</x:v>
      </x:c>
      <x:c r="J16" t="str">
        <x:f>IF(G16="","",IF(LEN(G16)=1,"=",LEFT(G16,LEN(G16)-1)))</x:f>
      </x:c>
      <x:c r="K16" t="str">
        <x:f>IF(J16="","",IF(LEFT(J16,1)="=",H16,J16))</x:f>
      </x:c>
      <x:c r="L16" t="str">
        <x:f>IF(G16="","",RIGHT(G16,1))</x:f>
      </x:c>
      <x:c r="M16" t="n">
        <x:f>IF(L16="D",5,IF(L16="N",10,IF(L16="I",15,IF(L16="M",40,0))))</x:f>
        <x:v>0</x:v>
      </x:c>
    </x:row>
    <x:row r="17">
      <x:c r="A17" t="str">
        <x:v>alex|D/S</x:v>
      </x:c>
      <x:c r="B17" t="str">
        <x:v>alex</x:v>
      </x:c>
      <x:c r="C17" t="str">
        <x:v>D/S</x:v>
      </x:c>
      <x:c r="D17" t="str">
        <x:f>INDEX(Data!$C$2:$K$22,MATCH(B17,Data!$B$2:$B$22,0),MATCH(C17,Data!$C$1:$K$1,0))</x:f>
        <x:v>S-DD</x:v>
      </x:c>
      <x:c r="E17" t="str">
        <x:f>UPPER(SUBSTITUTE(TRIM(D17),"1","I"))</x:f>
        <x:v>S-DD</x:v>
      </x:c>
      <x:c r="F17" t="n">
        <x:f>MIN(IFERROR(FIND("^",E17),999),IFERROR(FIND("-",E17),999))</x:f>
        <x:v>2</x:v>
      </x:c>
      <x:c r="G17" t="str">
        <x:f>IF(OR(E17="",F17=999,LEN(E17)&lt;=F17),"",MID(E17,F17+1,99))</x:f>
        <x:v>DD</x:v>
      </x:c>
      <x:c r="H17" t="str">
        <x:f>IF(OR(E17="",F17=999),"",LEFT(E17,F17-1))</x:f>
        <x:v>S</x:v>
      </x:c>
      <x:c r="I17" t="n">
        <x:f>IF(MID(E17,F17,1)="-",0.75,IF(MID(E17,F17,1)="^",1,0))</x:f>
        <x:v>0.75</x:v>
      </x:c>
      <x:c r="J17" t="str">
        <x:f>IF(G17="","",IF(LEN(G17)=1,"=",LEFT(G17,LEN(G17)-1)))</x:f>
        <x:v>D</x:v>
      </x:c>
      <x:c r="K17" t="str">
        <x:f>IF(J17="","",IF(LEFT(J17,1)="=",H17,J17))</x:f>
        <x:v>D</x:v>
      </x:c>
      <x:c r="L17" t="str">
        <x:f>IF(G17="","",RIGHT(G17,1))</x:f>
        <x:v>D</x:v>
      </x:c>
      <x:c r="M17" t="n">
        <x:f>IF(L17="D",5,IF(L17="N",10,IF(L17="I",15,IF(L17="M",40,0))))</x:f>
        <x:v>5</x:v>
      </x:c>
    </x:row>
    <x:row r="18">
      <x:c r="A18" t="str">
        <x:v>alex|True/kind</x:v>
      </x:c>
      <x:c r="B18" t="str">
        <x:v>alex</x:v>
      </x:c>
      <x:c r="C18" t="str">
        <x:v>True/kind</x:v>
      </x:c>
      <x:c r="D18" t="str">
        <x:f>INDEX(Data!$C$2:$K$22,MATCH(B18,Data!$B$2:$B$22,0),MATCH(C18,Data!$C$1:$K$1,0))</x:f>
        <x:v>T^=D</x:v>
      </x:c>
      <x:c r="E18" t="str">
        <x:f>UPPER(SUBSTITUTE(TRIM(D18),"1","I"))</x:f>
        <x:v>T^=D</x:v>
      </x:c>
      <x:c r="F18" t="n">
        <x:f>MIN(IFERROR(FIND("^",E18),999),IFERROR(FIND("-",E18),999))</x:f>
        <x:v>2</x:v>
      </x:c>
      <x:c r="G18" t="str">
        <x:f>IF(OR(E18="",F18=999,LEN(E18)&lt;=F18),"",MID(E18,F18+1,99))</x:f>
        <x:v>=D</x:v>
      </x:c>
      <x:c r="H18" t="str">
        <x:f>IF(OR(E18="",F18=999),"",LEFT(E18,F18-1))</x:f>
        <x:v>T</x:v>
      </x:c>
      <x:c r="I18" t="n">
        <x:f>IF(MID(E18,F18,1)="-",0.75,IF(MID(E18,F18,1)="^",1,0))</x:f>
        <x:v>1</x:v>
      </x:c>
      <x:c r="J18" t="str">
        <x:f>IF(G18="","",IF(LEN(G18)=1,"=",LEFT(G18,LEN(G18)-1)))</x:f>
        <x:v>=</x:v>
      </x:c>
      <x:c r="K18" t="str">
        <x:f>IF(J18="","",IF(LEFT(J18,1)="=",H18,J18))</x:f>
        <x:v>T</x:v>
      </x:c>
      <x:c r="L18" t="str">
        <x:f>IF(G18="","",RIGHT(G18,1))</x:f>
        <x:v>D</x:v>
      </x:c>
      <x:c r="M18" t="n">
        <x:f>IF(L18="D",5,IF(L18="N",10,IF(L18="I",15,IF(L18="M",40,0))))</x:f>
        <x:v>5</x:v>
      </x:c>
    </x:row>
    <x:row r="19">
      <x:c r="A19" t="str">
        <x:v>alex|Animal</x:v>
      </x:c>
      <x:c r="B19" t="str">
        <x:v>alex</x:v>
      </x:c>
      <x:c r="C19" t="str">
        <x:v>Animal</x:v>
      </x:c>
      <x:c r="D19" t="str">
        <x:f>INDEX(Data!$C$2:$K$22,MATCH(B19,Data!$B$2:$B$22,0),MATCH(C19,Data!$C$1:$K$1,0))</x:f>
        <x:v>A-</x:v>
      </x:c>
      <x:c r="E19" t="str">
        <x:f>UPPER(SUBSTITUTE(TRIM(D19),"1","I"))</x:f>
        <x:v>A-</x:v>
      </x:c>
      <x:c r="F19" t="n">
        <x:f>MIN(IFERROR(FIND("^",E19),999),IFERROR(FIND("-",E19),999))</x:f>
        <x:v>2</x:v>
      </x:c>
      <x:c r="G19" t="str">
        <x:f>IF(OR(E19="",F19=999,LEN(E19)&lt;=F19),"",MID(E19,F19+1,99))</x:f>
      </x:c>
      <x:c r="H19" t="str">
        <x:f>IF(OR(E19="",F19=999),"",LEFT(E19,F19-1))</x:f>
        <x:v>A</x:v>
      </x:c>
      <x:c r="I19" t="n">
        <x:f>IF(MID(E19,F19,1)="-",0.75,IF(MID(E19,F19,1)="^",1,0))</x:f>
        <x:v>0.75</x:v>
      </x:c>
      <x:c r="J19" t="str">
        <x:f>IF(G19="","",IF(LEN(G19)=1,"=",LEFT(G19,LEN(G19)-1)))</x:f>
      </x:c>
      <x:c r="K19" t="str">
        <x:f>IF(J19="","",IF(LEFT(J19,1)="=",H19,J19))</x:f>
      </x:c>
      <x:c r="L19" t="str">
        <x:f>IF(G19="","",RIGHT(G19,1))</x:f>
      </x:c>
      <x:c r="M19" t="n">
        <x:f>IF(L19="D",5,IF(L19="N",10,IF(L19="I",15,IF(L19="M",40,0))))</x:f>
        <x:v>0</x:v>
      </x:c>
    </x:row>
    <x:row r="20">
      <x:c r="A20" t="str">
        <x:v>ethan|God</x:v>
      </x:c>
      <x:c r="B20" t="str">
        <x:v>ethan</x:v>
      </x:c>
      <x:c r="C20" t="str">
        <x:v>God</x:v>
      </x:c>
      <x:c r="D20" t="str">
        <x:f>INDEX(Data!$C$2:$K$22,MATCH(B20,Data!$B$2:$B$22,0),MATCH(C20,Data!$C$1:$K$1,0))</x:f>
        <x:v>Y^=M</x:v>
      </x:c>
      <x:c r="E20" t="str">
        <x:f>UPPER(SUBSTITUTE(TRIM(D20),"1","I"))</x:f>
        <x:v>Y^=M</x:v>
      </x:c>
      <x:c r="F20" t="n">
        <x:f>MIN(IFERROR(FIND("^",E20),999),IFERROR(FIND("-",E20),999))</x:f>
        <x:v>2</x:v>
      </x:c>
      <x:c r="G20" t="str">
        <x:f>IF(OR(E20="",F20=999,LEN(E20)&lt;=F20),"",MID(E20,F20+1,99))</x:f>
        <x:v>=M</x:v>
      </x:c>
      <x:c r="H20" t="str">
        <x:f>IF(OR(E20="",F20=999),"",LEFT(E20,F20-1))</x:f>
        <x:v>Y</x:v>
      </x:c>
      <x:c r="I20" t="n">
        <x:f>IF(MID(E20,F20,1)="-",0.75,IF(MID(E20,F20,1)="^",1,0))</x:f>
        <x:v>1</x:v>
      </x:c>
      <x:c r="J20" t="str">
        <x:f>IF(G20="","",IF(LEN(G20)=1,"=",LEFT(G20,LEN(G20)-1)))</x:f>
        <x:v>=</x:v>
      </x:c>
      <x:c r="K20" t="str">
        <x:f>IF(J20="","",IF(LEFT(J20,1)="=",H20,J20))</x:f>
        <x:v>Y</x:v>
      </x:c>
      <x:c r="L20" t="str">
        <x:f>IF(G20="","",RIGHT(G20,1))</x:f>
        <x:v>M</x:v>
      </x:c>
      <x:c r="M20" t="n">
        <x:f>IF(L20="D",5,IF(L20="N",10,IF(L20="I",15,IF(L20="M",40,0))))</x:f>
        <x:v>40</x:v>
      </x:c>
    </x:row>
    <x:row r="21">
      <x:c r="A21" t="str">
        <x:v>ethan|Politics</x:v>
      </x:c>
      <x:c r="B21" t="str">
        <x:v>ethan</x:v>
      </x:c>
      <x:c r="C21" t="str">
        <x:v>Politics</x:v>
      </x:c>
      <x:c r="D21" t="str">
        <x:f>INDEX(Data!$C$2:$K$22,MATCH(B21,Data!$B$2:$B$22,0),MATCH(C21,Data!$C$1:$K$1,0))</x:f>
        <x:v>R^=N</x:v>
      </x:c>
      <x:c r="E21" t="str">
        <x:f>UPPER(SUBSTITUTE(TRIM(D21),"1","I"))</x:f>
        <x:v>R^=N</x:v>
      </x:c>
      <x:c r="F21" t="n">
        <x:f>MIN(IFERROR(FIND("^",E21),999),IFERROR(FIND("-",E21),999))</x:f>
        <x:v>2</x:v>
      </x:c>
      <x:c r="G21" t="str">
        <x:f>IF(OR(E21="",F21=999,LEN(E21)&lt;=F21),"",MID(E21,F21+1,99))</x:f>
        <x:v>=N</x:v>
      </x:c>
      <x:c r="H21" t="str">
        <x:f>IF(OR(E21="",F21=999),"",LEFT(E21,F21-1))</x:f>
        <x:v>R</x:v>
      </x:c>
      <x:c r="I21" t="n">
        <x:f>IF(MID(E21,F21,1)="-",0.75,IF(MID(E21,F21,1)="^",1,0))</x:f>
        <x:v>1</x:v>
      </x:c>
      <x:c r="J21" t="str">
        <x:f>IF(G21="","",IF(LEN(G21)=1,"=",LEFT(G21,LEN(G21)-1)))</x:f>
        <x:v>=</x:v>
      </x:c>
      <x:c r="K21" t="str">
        <x:f>IF(J21="","",IF(LEFT(J21,1)="=",H21,J21))</x:f>
        <x:v>R</x:v>
      </x:c>
      <x:c r="L21" t="str">
        <x:f>IF(G21="","",RIGHT(G21,1))</x:f>
        <x:v>N</x:v>
      </x:c>
      <x:c r="M21" t="n">
        <x:f>IF(L21="D",5,IF(L21="N",10,IF(L21="I",15,IF(L21="M",40,0))))</x:f>
        <x:v>10</x:v>
      </x:c>
    </x:row>
    <x:row r="22">
      <x:c r="A22" t="str">
        <x:v>ethan|Marriage</x:v>
      </x:c>
      <x:c r="B22" t="str">
        <x:v>ethan</x:v>
      </x:c>
      <x:c r="C22" t="str">
        <x:v>Marriage</x:v>
      </x:c>
      <x:c r="D22" t="str">
        <x:f>INDEX(Data!$C$2:$K$22,MATCH(B22,Data!$B$2:$B$22,0),MATCH(C22,Data!$C$1:$K$1,0))</x:f>
        <x:v>S-LN</x:v>
      </x:c>
      <x:c r="E22" t="str">
        <x:f>UPPER(SUBSTITUTE(TRIM(D22),"1","I"))</x:f>
        <x:v>S-LN</x:v>
      </x:c>
      <x:c r="F22" t="n">
        <x:f>MIN(IFERROR(FIND("^",E22),999),IFERROR(FIND("-",E22),999))</x:f>
        <x:v>2</x:v>
      </x:c>
      <x:c r="G22" t="str">
        <x:f>IF(OR(E22="",F22=999,LEN(E22)&lt;=F22),"",MID(E22,F22+1,99))</x:f>
        <x:v>LN</x:v>
      </x:c>
      <x:c r="H22" t="str">
        <x:f>IF(OR(E22="",F22=999),"",LEFT(E22,F22-1))</x:f>
        <x:v>S</x:v>
      </x:c>
      <x:c r="I22" t="n">
        <x:f>IF(MID(E22,F22,1)="-",0.75,IF(MID(E22,F22,1)="^",1,0))</x:f>
        <x:v>0.75</x:v>
      </x:c>
      <x:c r="J22" t="str">
        <x:f>IF(G22="","",IF(LEN(G22)=1,"=",LEFT(G22,LEN(G22)-1)))</x:f>
        <x:v>L</x:v>
      </x:c>
      <x:c r="K22" t="str">
        <x:f>IF(J22="","",IF(LEFT(J22,1)="=",H22,J22))</x:f>
        <x:v>L</x:v>
      </x:c>
      <x:c r="L22" t="str">
        <x:f>IF(G22="","",RIGHT(G22,1))</x:f>
        <x:v>N</x:v>
      </x:c>
      <x:c r="M22" t="n">
        <x:f>IF(L22="D",5,IF(L22="N",10,IF(L22="I",15,IF(L22="M",40,0))))</x:f>
        <x:v>10</x:v>
      </x:c>
    </x:row>
    <x:row r="23">
      <x:c r="A23" t="str">
        <x:v>ethan|Children</x:v>
      </x:c>
      <x:c r="B23" t="str">
        <x:v>ethan</x:v>
      </x:c>
      <x:c r="C23" t="str">
        <x:v>Children</x:v>
      </x:c>
      <x:c r="D23" t="str">
        <x:f>INDEX(Data!$C$2:$K$22,MATCH(B23,Data!$B$2:$B$22,0),MATCH(C23,Data!$C$1:$K$1,0))</x:f>
        <x:v>Y-=D</x:v>
      </x:c>
      <x:c r="E23" t="str">
        <x:f>UPPER(SUBSTITUTE(TRIM(D23),"1","I"))</x:f>
        <x:v>Y-=D</x:v>
      </x:c>
      <x:c r="F23" t="n">
        <x:f>MIN(IFERROR(FIND("^",E23),999),IFERROR(FIND("-",E23),999))</x:f>
        <x:v>2</x:v>
      </x:c>
      <x:c r="G23" t="str">
        <x:f>IF(OR(E23="",F23=999,LEN(E23)&lt;=F23),"",MID(E23,F23+1,99))</x:f>
        <x:v>=D</x:v>
      </x:c>
      <x:c r="H23" t="str">
        <x:f>IF(OR(E23="",F23=999),"",LEFT(E23,F23-1))</x:f>
        <x:v>Y</x:v>
      </x:c>
      <x:c r="I23" t="n">
        <x:f>IF(MID(E23,F23,1)="-",0.75,IF(MID(E23,F23,1)="^",1,0))</x:f>
        <x:v>0.75</x:v>
      </x:c>
      <x:c r="J23" t="str">
        <x:f>IF(G23="","",IF(LEN(G23)=1,"=",LEFT(G23,LEN(G23)-1)))</x:f>
        <x:v>=</x:v>
      </x:c>
      <x:c r="K23" t="str">
        <x:f>IF(J23="","",IF(LEFT(J23,1)="=",H23,J23))</x:f>
        <x:v>Y</x:v>
      </x:c>
      <x:c r="L23" t="str">
        <x:f>IF(G23="","",RIGHT(G23,1))</x:f>
        <x:v>D</x:v>
      </x:c>
      <x:c r="M23" t="n">
        <x:f>IF(L23="D",5,IF(L23="N",10,IF(L23="I",15,IF(L23="M",40,0))))</x:f>
        <x:v>5</x:v>
      </x:c>
    </x:row>
    <x:row r="24">
      <x:c r="A24" t="str">
        <x:v>ethan|Ethicity</x:v>
      </x:c>
      <x:c r="B24" t="str">
        <x:v>ethan</x:v>
      </x:c>
      <x:c r="C24" t="str">
        <x:v>Ethicity</x:v>
      </x:c>
      <x:c r="D24" t="str">
        <x:f>INDEX(Data!$C$2:$K$22,MATCH(B24,Data!$B$2:$B$22,0),MATCH(C24,Data!$C$1:$K$1,0))</x:f>
        <x:v>A^=I</x:v>
      </x:c>
      <x:c r="E24" t="str">
        <x:f>UPPER(SUBSTITUTE(TRIM(D24),"1","I"))</x:f>
        <x:v>A^=I</x:v>
      </x:c>
      <x:c r="F24" t="n">
        <x:f>MIN(IFERROR(FIND("^",E24),999),IFERROR(FIND("-",E24),999))</x:f>
        <x:v>2</x:v>
      </x:c>
      <x:c r="G24" t="str">
        <x:f>IF(OR(E24="",F24=999,LEN(E24)&lt;=F24),"",MID(E24,F24+1,99))</x:f>
        <x:v>=I</x:v>
      </x:c>
      <x:c r="H24" t="str">
        <x:f>IF(OR(E24="",F24=999),"",LEFT(E24,F24-1))</x:f>
        <x:v>A</x:v>
      </x:c>
      <x:c r="I24" t="n">
        <x:f>IF(MID(E24,F24,1)="-",0.75,IF(MID(E24,F24,1)="^",1,0))</x:f>
        <x:v>1</x:v>
      </x:c>
      <x:c r="J24" t="str">
        <x:f>IF(G24="","",IF(LEN(G24)=1,"=",LEFT(G24,LEN(G24)-1)))</x:f>
        <x:v>=</x:v>
      </x:c>
      <x:c r="K24" t="str">
        <x:f>IF(J24="","",IF(LEFT(J24,1)="=",H24,J24))</x:f>
        <x:v>A</x:v>
      </x:c>
      <x:c r="L24" t="str">
        <x:f>IF(G24="","",RIGHT(G24,1))</x:f>
        <x:v>I</x:v>
      </x:c>
      <x:c r="M24" t="n">
        <x:f>IF(L24="D",5,IF(L24="N",10,IF(L24="I",15,IF(L24="M",40,0))))</x:f>
        <x:v>15</x:v>
      </x:c>
    </x:row>
    <x:row r="25">
      <x:c r="A25" t="str">
        <x:v>ethan|Past</x:v>
      </x:c>
      <x:c r="B25" t="str">
        <x:v>ethan</x:v>
      </x:c>
      <x:c r="C25" t="str">
        <x:v>Past</x:v>
      </x:c>
      <x:c r="D25" t="str">
        <x:f>INDEX(Data!$C$2:$K$22,MATCH(B25,Data!$B$2:$B$22,0),MATCH(C25,Data!$C$1:$K$1,0))</x:f>
        <x:v>Y-</x:v>
      </x:c>
      <x:c r="E25" t="str">
        <x:f>UPPER(SUBSTITUTE(TRIM(D25),"1","I"))</x:f>
        <x:v>Y-</x:v>
      </x:c>
      <x:c r="F25" t="n">
        <x:f>MIN(IFERROR(FIND("^",E25),999),IFERROR(FIND("-",E25),999))</x:f>
        <x:v>2</x:v>
      </x:c>
      <x:c r="G25" t="str">
        <x:f>IF(OR(E25="",F25=999,LEN(E25)&lt;=F25),"",MID(E25,F25+1,99))</x:f>
      </x:c>
      <x:c r="H25" t="str">
        <x:f>IF(OR(E25="",F25=999),"",LEFT(E25,F25-1))</x:f>
        <x:v>Y</x:v>
      </x:c>
      <x:c r="I25" t="n">
        <x:f>IF(MID(E25,F25,1)="-",0.75,IF(MID(E25,F25,1)="^",1,0))</x:f>
        <x:v>0.75</x:v>
      </x:c>
      <x:c r="J25" t="str">
        <x:f>IF(G25="","",IF(LEN(G25)=1,"=",LEFT(G25,LEN(G25)-1)))</x:f>
      </x:c>
      <x:c r="K25" t="str">
        <x:f>IF(J25="","",IF(LEFT(J25,1)="=",H25,J25))</x:f>
      </x:c>
      <x:c r="L25" t="str">
        <x:f>IF(G25="","",RIGHT(G25,1))</x:f>
      </x:c>
      <x:c r="M25" t="n">
        <x:f>IF(L25="D",5,IF(L25="N",10,IF(L25="I",15,IF(L25="M",40,0))))</x:f>
        <x:v>0</x:v>
      </x:c>
    </x:row>
    <x:row r="26">
      <x:c r="A26" t="str">
        <x:v>ethan|D/S</x:v>
      </x:c>
      <x:c r="B26" t="str">
        <x:v>ethan</x:v>
      </x:c>
      <x:c r="C26" t="str">
        <x:v>D/S</x:v>
      </x:c>
      <x:c r="D26" t="str">
        <x:f>INDEX(Data!$C$2:$K$22,MATCH(B26,Data!$B$2:$B$22,0),MATCH(C26,Data!$C$1:$K$1,0))</x:f>
        <x:v>S-=D</x:v>
      </x:c>
      <x:c r="E26" t="str">
        <x:f>UPPER(SUBSTITUTE(TRIM(D26),"1","I"))</x:f>
        <x:v>S-=D</x:v>
      </x:c>
      <x:c r="F26" t="n">
        <x:f>MIN(IFERROR(FIND("^",E26),999),IFERROR(FIND("-",E26),999))</x:f>
        <x:v>2</x:v>
      </x:c>
      <x:c r="G26" t="str">
        <x:f>IF(OR(E26="",F26=999,LEN(E26)&lt;=F26),"",MID(E26,F26+1,99))</x:f>
        <x:v>=D</x:v>
      </x:c>
      <x:c r="H26" t="str">
        <x:f>IF(OR(E26="",F26=999),"",LEFT(E26,F26-1))</x:f>
        <x:v>S</x:v>
      </x:c>
      <x:c r="I26" t="n">
        <x:f>IF(MID(E26,F26,1)="-",0.75,IF(MID(E26,F26,1)="^",1,0))</x:f>
        <x:v>0.75</x:v>
      </x:c>
      <x:c r="J26" t="str">
        <x:f>IF(G26="","",IF(LEN(G26)=1,"=",LEFT(G26,LEN(G26)-1)))</x:f>
        <x:v>=</x:v>
      </x:c>
      <x:c r="K26" t="str">
        <x:f>IF(J26="","",IF(LEFT(J26,1)="=",H26,J26))</x:f>
        <x:v>S</x:v>
      </x:c>
      <x:c r="L26" t="str">
        <x:f>IF(G26="","",RIGHT(G26,1))</x:f>
        <x:v>D</x:v>
      </x:c>
      <x:c r="M26" t="n">
        <x:f>IF(L26="D",5,IF(L26="N",10,IF(L26="I",15,IF(L26="M",40,0))))</x:f>
        <x:v>5</x:v>
      </x:c>
    </x:row>
    <x:row r="27">
      <x:c r="A27" t="str">
        <x:v>ethan|True/kind</x:v>
      </x:c>
      <x:c r="B27" t="str">
        <x:v>ethan</x:v>
      </x:c>
      <x:c r="C27" t="str">
        <x:v>True/kind</x:v>
      </x:c>
      <x:c r="D27" t="str">
        <x:f>INDEX(Data!$C$2:$K$22,MATCH(B27,Data!$B$2:$B$22,0),MATCH(C27,Data!$C$1:$K$1,0))</x:f>
        <x:v>T^KI</x:v>
      </x:c>
      <x:c r="E27" t="str">
        <x:f>UPPER(SUBSTITUTE(TRIM(D27),"1","I"))</x:f>
        <x:v>T^KI</x:v>
      </x:c>
      <x:c r="F27" t="n">
        <x:f>MIN(IFERROR(FIND("^",E27),999),IFERROR(FIND("-",E27),999))</x:f>
        <x:v>2</x:v>
      </x:c>
      <x:c r="G27" t="str">
        <x:f>IF(OR(E27="",F27=999,LEN(E27)&lt;=F27),"",MID(E27,F27+1,99))</x:f>
        <x:v>KI</x:v>
      </x:c>
      <x:c r="H27" t="str">
        <x:f>IF(OR(E27="",F27=999),"",LEFT(E27,F27-1))</x:f>
        <x:v>T</x:v>
      </x:c>
      <x:c r="I27" t="n">
        <x:f>IF(MID(E27,F27,1)="-",0.75,IF(MID(E27,F27,1)="^",1,0))</x:f>
        <x:v>1</x:v>
      </x:c>
      <x:c r="J27" t="str">
        <x:f>IF(G27="","",IF(LEN(G27)=1,"=",LEFT(G27,LEN(G27)-1)))</x:f>
        <x:v>K</x:v>
      </x:c>
      <x:c r="K27" t="str">
        <x:f>IF(J27="","",IF(LEFT(J27,1)="=",H27,J27))</x:f>
        <x:v>K</x:v>
      </x:c>
      <x:c r="L27" t="str">
        <x:f>IF(G27="","",RIGHT(G27,1))</x:f>
        <x:v>I</x:v>
      </x:c>
      <x:c r="M27" t="n">
        <x:f>IF(L27="D",5,IF(L27="N",10,IF(L27="I",15,IF(L27="M",40,0))))</x:f>
        <x:v>15</x:v>
      </x:c>
    </x:row>
    <x:row r="28">
      <x:c r="A28" t="str">
        <x:v>ethan|Animal</x:v>
      </x:c>
      <x:c r="B28" t="str">
        <x:v>ethan</x:v>
      </x:c>
      <x:c r="C28" t="str">
        <x:v>Animal</x:v>
      </x:c>
      <x:c r="D28" t="str">
        <x:f>INDEX(Data!$C$2:$K$22,MATCH(B28,Data!$B$2:$B$22,0),MATCH(C28,Data!$C$1:$K$1,0))</x:f>
        <x:v>N-</x:v>
      </x:c>
      <x:c r="E28" t="str">
        <x:f>UPPER(SUBSTITUTE(TRIM(D28),"1","I"))</x:f>
        <x:v>N-</x:v>
      </x:c>
      <x:c r="F28" t="n">
        <x:f>MIN(IFERROR(FIND("^",E28),999),IFERROR(FIND("-",E28),999))</x:f>
        <x:v>2</x:v>
      </x:c>
      <x:c r="G28" t="str">
        <x:f>IF(OR(E28="",F28=999,LEN(E28)&lt;=F28),"",MID(E28,F28+1,99))</x:f>
      </x:c>
      <x:c r="H28" t="str">
        <x:f>IF(OR(E28="",F28=999),"",LEFT(E28,F28-1))</x:f>
        <x:v>N</x:v>
      </x:c>
      <x:c r="I28" t="n">
        <x:f>IF(MID(E28,F28,1)="-",0.75,IF(MID(E28,F28,1)="^",1,0))</x:f>
        <x:v>0.75</x:v>
      </x:c>
      <x:c r="J28" t="str">
        <x:f>IF(G28="","",IF(LEN(G28)=1,"=",LEFT(G28,LEN(G28)-1)))</x:f>
      </x:c>
      <x:c r="K28" t="str">
        <x:f>IF(J28="","",IF(LEFT(J28,1)="=",H28,J28))</x:f>
      </x:c>
      <x:c r="L28" t="str">
        <x:f>IF(G28="","",RIGHT(G28,1))</x:f>
      </x:c>
      <x:c r="M28" t="n">
        <x:f>IF(L28="D",5,IF(L28="N",10,IF(L28="I",15,IF(L28="M",40,0))))</x:f>
        <x:v>0</x:v>
      </x:c>
    </x:row>
    <x:row r="29">
      <x:c r="A29" t="str">
        <x:v>liam|God</x:v>
      </x:c>
      <x:c r="B29" t="str">
        <x:v>liam</x:v>
      </x:c>
      <x:c r="C29" t="str">
        <x:v>God</x:v>
      </x:c>
      <x:c r="D29" t="str">
        <x:f>INDEX(Data!$C$2:$K$22,MATCH(B29,Data!$B$2:$B$22,0),MATCH(C29,Data!$C$1:$K$1,0))</x:f>
        <x:v>Y-</x:v>
      </x:c>
      <x:c r="E29" t="str">
        <x:f>UPPER(SUBSTITUTE(TRIM(D29),"1","I"))</x:f>
        <x:v>Y-</x:v>
      </x:c>
      <x:c r="F29" t="n">
        <x:f>MIN(IFERROR(FIND("^",E29),999),IFERROR(FIND("-",E29),999))</x:f>
        <x:v>2</x:v>
      </x:c>
      <x:c r="G29" t="str">
        <x:f>IF(OR(E29="",F29=999,LEN(E29)&lt;=F29),"",MID(E29,F29+1,99))</x:f>
      </x:c>
      <x:c r="H29" t="str">
        <x:f>IF(OR(E29="",F29=999),"",LEFT(E29,F29-1))</x:f>
        <x:v>Y</x:v>
      </x:c>
      <x:c r="I29" t="n">
        <x:f>IF(MID(E29,F29,1)="-",0.75,IF(MID(E29,F29,1)="^",1,0))</x:f>
        <x:v>0.75</x:v>
      </x:c>
      <x:c r="J29" t="str">
        <x:f>IF(G29="","",IF(LEN(G29)=1,"=",LEFT(G29,LEN(G29)-1)))</x:f>
      </x:c>
      <x:c r="K29" t="str">
        <x:f>IF(J29="","",IF(LEFT(J29,1)="=",H29,J29))</x:f>
      </x:c>
      <x:c r="L29" t="str">
        <x:f>IF(G29="","",RIGHT(G29,1))</x:f>
      </x:c>
      <x:c r="M29" t="n">
        <x:f>IF(L29="D",5,IF(L29="N",10,IF(L29="I",15,IF(L29="M",40,0))))</x:f>
        <x:v>0</x:v>
      </x:c>
    </x:row>
    <x:row r="30">
      <x:c r="A30" t="str">
        <x:v>liam|Politics</x:v>
      </x:c>
      <x:c r="B30" t="str">
        <x:v>liam</x:v>
      </x:c>
      <x:c r="C30" t="str">
        <x:v>Politics</x:v>
      </x:c>
      <x:c r="D30" t="str">
        <x:f>INDEX(Data!$C$2:$K$22,MATCH(B30,Data!$B$2:$B$22,0),MATCH(C30,Data!$C$1:$K$1,0))</x:f>
        <x:v>L-=N</x:v>
      </x:c>
      <x:c r="E30" t="str">
        <x:f>UPPER(SUBSTITUTE(TRIM(D30),"1","I"))</x:f>
        <x:v>L-=N</x:v>
      </x:c>
      <x:c r="F30" t="n">
        <x:f>MIN(IFERROR(FIND("^",E30),999),IFERROR(FIND("-",E30),999))</x:f>
        <x:v>2</x:v>
      </x:c>
      <x:c r="G30" t="str">
        <x:f>IF(OR(E30="",F30=999,LEN(E30)&lt;=F30),"",MID(E30,F30+1,99))</x:f>
        <x:v>=N</x:v>
      </x:c>
      <x:c r="H30" t="str">
        <x:f>IF(OR(E30="",F30=999),"",LEFT(E30,F30-1))</x:f>
        <x:v>L</x:v>
      </x:c>
      <x:c r="I30" t="n">
        <x:f>IF(MID(E30,F30,1)="-",0.75,IF(MID(E30,F30,1)="^",1,0))</x:f>
        <x:v>0.75</x:v>
      </x:c>
      <x:c r="J30" t="str">
        <x:f>IF(G30="","",IF(LEN(G30)=1,"=",LEFT(G30,LEN(G30)-1)))</x:f>
        <x:v>=</x:v>
      </x:c>
      <x:c r="K30" t="str">
        <x:f>IF(J30="","",IF(LEFT(J30,1)="=",H30,J30))</x:f>
        <x:v>L</x:v>
      </x:c>
      <x:c r="L30" t="str">
        <x:f>IF(G30="","",RIGHT(G30,1))</x:f>
        <x:v>N</x:v>
      </x:c>
      <x:c r="M30" t="n">
        <x:f>IF(L30="D",5,IF(L30="N",10,IF(L30="I",15,IF(L30="M",40,0))))</x:f>
        <x:v>10</x:v>
      </x:c>
    </x:row>
    <x:row r="31">
      <x:c r="A31" t="str">
        <x:v>liam|Marriage</x:v>
      </x:c>
      <x:c r="B31" t="str">
        <x:v>liam</x:v>
      </x:c>
      <x:c r="C31" t="str">
        <x:v>Marriage</x:v>
      </x:c>
      <x:c r="D31" t="str">
        <x:f>INDEX(Data!$C$2:$K$22,MATCH(B31,Data!$B$2:$B$22,0),MATCH(C31,Data!$C$1:$K$1,0))</x:f>
        <x:v>L-=I</x:v>
      </x:c>
      <x:c r="E31" t="str">
        <x:f>UPPER(SUBSTITUTE(TRIM(D31),"1","I"))</x:f>
        <x:v>L-=I</x:v>
      </x:c>
      <x:c r="F31" t="n">
        <x:f>MIN(IFERROR(FIND("^",E31),999),IFERROR(FIND("-",E31),999))</x:f>
        <x:v>2</x:v>
      </x:c>
      <x:c r="G31" t="str">
        <x:f>IF(OR(E31="",F31=999,LEN(E31)&lt;=F31),"",MID(E31,F31+1,99))</x:f>
        <x:v>=I</x:v>
      </x:c>
      <x:c r="H31" t="str">
        <x:f>IF(OR(E31="",F31=999),"",LEFT(E31,F31-1))</x:f>
        <x:v>L</x:v>
      </x:c>
      <x:c r="I31" t="n">
        <x:f>IF(MID(E31,F31,1)="-",0.75,IF(MID(E31,F31,1)="^",1,0))</x:f>
        <x:v>0.75</x:v>
      </x:c>
      <x:c r="J31" t="str">
        <x:f>IF(G31="","",IF(LEN(G31)=1,"=",LEFT(G31,LEN(G31)-1)))</x:f>
        <x:v>=</x:v>
      </x:c>
      <x:c r="K31" t="str">
        <x:f>IF(J31="","",IF(LEFT(J31,1)="=",H31,J31))</x:f>
        <x:v>L</x:v>
      </x:c>
      <x:c r="L31" t="str">
        <x:f>IF(G31="","",RIGHT(G31,1))</x:f>
        <x:v>I</x:v>
      </x:c>
      <x:c r="M31" t="n">
        <x:f>IF(L31="D",5,IF(L31="N",10,IF(L31="I",15,IF(L31="M",40,0))))</x:f>
        <x:v>15</x:v>
      </x:c>
    </x:row>
    <x:row r="32">
      <x:c r="A32" t="str">
        <x:v>liam|Children</x:v>
      </x:c>
      <x:c r="B32" t="str">
        <x:v>liam</x:v>
      </x:c>
      <x:c r="C32" t="str">
        <x:v>Children</x:v>
      </x:c>
      <x:c r="D32" t="str">
        <x:f>INDEX(Data!$C$2:$K$22,MATCH(B32,Data!$B$2:$B$22,0),MATCH(C32,Data!$C$1:$K$1,0))</x:f>
        <x:v>Y-</x:v>
      </x:c>
      <x:c r="E32" t="str">
        <x:f>UPPER(SUBSTITUTE(TRIM(D32),"1","I"))</x:f>
        <x:v>Y-</x:v>
      </x:c>
      <x:c r="F32" t="n">
        <x:f>MIN(IFERROR(FIND("^",E32),999),IFERROR(FIND("-",E32),999))</x:f>
        <x:v>2</x:v>
      </x:c>
      <x:c r="G32" t="str">
        <x:f>IF(OR(E32="",F32=999,LEN(E32)&lt;=F32),"",MID(E32,F32+1,99))</x:f>
      </x:c>
      <x:c r="H32" t="str">
        <x:f>IF(OR(E32="",F32=999),"",LEFT(E32,F32-1))</x:f>
        <x:v>Y</x:v>
      </x:c>
      <x:c r="I32" t="n">
        <x:f>IF(MID(E32,F32,1)="-",0.75,IF(MID(E32,F32,1)="^",1,0))</x:f>
        <x:v>0.75</x:v>
      </x:c>
      <x:c r="J32" t="str">
        <x:f>IF(G32="","",IF(LEN(G32)=1,"=",LEFT(G32,LEN(G32)-1)))</x:f>
      </x:c>
      <x:c r="K32" t="str">
        <x:f>IF(J32="","",IF(LEFT(J32,1)="=",H32,J32))</x:f>
      </x:c>
      <x:c r="L32" t="str">
        <x:f>IF(G32="","",RIGHT(G32,1))</x:f>
      </x:c>
      <x:c r="M32" t="n">
        <x:f>IF(L32="D",5,IF(L32="N",10,IF(L32="I",15,IF(L32="M",40,0))))</x:f>
        <x:v>0</x:v>
      </x:c>
    </x:row>
    <x:row r="33">
      <x:c r="A33" t="str">
        <x:v>liam|Ethicity</x:v>
      </x:c>
      <x:c r="B33" t="str">
        <x:v>liam</x:v>
      </x:c>
      <x:c r="C33" t="str">
        <x:v>Ethicity</x:v>
      </x:c>
      <x:c r="D33" t="str">
        <x:f>INDEX(Data!$C$2:$K$22,MATCH(B33,Data!$B$2:$B$22,0),MATCH(C33,Data!$C$1:$K$1,0))</x:f>
        <x:v>A^=M</x:v>
      </x:c>
      <x:c r="E33" t="str">
        <x:f>UPPER(SUBSTITUTE(TRIM(D33),"1","I"))</x:f>
        <x:v>A^=M</x:v>
      </x:c>
      <x:c r="F33" t="n">
        <x:f>MIN(IFERROR(FIND("^",E33),999),IFERROR(FIND("-",E33),999))</x:f>
        <x:v>2</x:v>
      </x:c>
      <x:c r="G33" t="str">
        <x:f>IF(OR(E33="",F33=999,LEN(E33)&lt;=F33),"",MID(E33,F33+1,99))</x:f>
        <x:v>=M</x:v>
      </x:c>
      <x:c r="H33" t="str">
        <x:f>IF(OR(E33="",F33=999),"",LEFT(E33,F33-1))</x:f>
        <x:v>A</x:v>
      </x:c>
      <x:c r="I33" t="n">
        <x:f>IF(MID(E33,F33,1)="-",0.75,IF(MID(E33,F33,1)="^",1,0))</x:f>
        <x:v>1</x:v>
      </x:c>
      <x:c r="J33" t="str">
        <x:f>IF(G33="","",IF(LEN(G33)=1,"=",LEFT(G33,LEN(G33)-1)))</x:f>
        <x:v>=</x:v>
      </x:c>
      <x:c r="K33" t="str">
        <x:f>IF(J33="","",IF(LEFT(J33,1)="=",H33,J33))</x:f>
        <x:v>A</x:v>
      </x:c>
      <x:c r="L33" t="str">
        <x:f>IF(G33="","",RIGHT(G33,1))</x:f>
        <x:v>M</x:v>
      </x:c>
      <x:c r="M33" t="n">
        <x:f>IF(L33="D",5,IF(L33="N",10,IF(L33="I",15,IF(L33="M",40,0))))</x:f>
        <x:v>40</x:v>
      </x:c>
    </x:row>
    <x:row r="34">
      <x:c r="A34" t="str">
        <x:v>liam|Past</x:v>
      </x:c>
      <x:c r="B34" t="str">
        <x:v>liam</x:v>
      </x:c>
      <x:c r="C34" t="str">
        <x:v>Past</x:v>
      </x:c>
      <x:c r="D34" t="str">
        <x:f>INDEX(Data!$C$2:$K$22,MATCH(B34,Data!$B$2:$B$22,0),MATCH(C34,Data!$C$1:$K$1,0))</x:f>
        <x:v>N-=I</x:v>
      </x:c>
      <x:c r="E34" t="str">
        <x:f>UPPER(SUBSTITUTE(TRIM(D34),"1","I"))</x:f>
        <x:v>N-=I</x:v>
      </x:c>
      <x:c r="F34" t="n">
        <x:f>MIN(IFERROR(FIND("^",E34),999),IFERROR(FIND("-",E34),999))</x:f>
        <x:v>2</x:v>
      </x:c>
      <x:c r="G34" t="str">
        <x:f>IF(OR(E34="",F34=999,LEN(E34)&lt;=F34),"",MID(E34,F34+1,99))</x:f>
        <x:v>=I</x:v>
      </x:c>
      <x:c r="H34" t="str">
        <x:f>IF(OR(E34="",F34=999),"",LEFT(E34,F34-1))</x:f>
        <x:v>N</x:v>
      </x:c>
      <x:c r="I34" t="n">
        <x:f>IF(MID(E34,F34,1)="-",0.75,IF(MID(E34,F34,1)="^",1,0))</x:f>
        <x:v>0.75</x:v>
      </x:c>
      <x:c r="J34" t="str">
        <x:f>IF(G34="","",IF(LEN(G34)=1,"=",LEFT(G34,LEN(G34)-1)))</x:f>
        <x:v>=</x:v>
      </x:c>
      <x:c r="K34" t="str">
        <x:f>IF(J34="","",IF(LEFT(J34,1)="=",H34,J34))</x:f>
        <x:v>N</x:v>
      </x:c>
      <x:c r="L34" t="str">
        <x:f>IF(G34="","",RIGHT(G34,1))</x:f>
        <x:v>I</x:v>
      </x:c>
      <x:c r="M34" t="n">
        <x:f>IF(L34="D",5,IF(L34="N",10,IF(L34="I",15,IF(L34="M",40,0))))</x:f>
        <x:v>15</x:v>
      </x:c>
    </x:row>
    <x:row r="35">
      <x:c r="A35" t="str">
        <x:v>liam|D/S</x:v>
      </x:c>
      <x:c r="B35" t="str">
        <x:v>liam</x:v>
      </x:c>
      <x:c r="C35" t="str">
        <x:v>D/S</x:v>
      </x:c>
      <x:c r="D35" t="str">
        <x:f>INDEX(Data!$C$2:$K$22,MATCH(B35,Data!$B$2:$B$22,0),MATCH(C35,Data!$C$1:$K$1,0))</x:f>
        <x:v>S-DD</x:v>
      </x:c>
      <x:c r="E35" t="str">
        <x:f>UPPER(SUBSTITUTE(TRIM(D35),"1","I"))</x:f>
        <x:v>S-DD</x:v>
      </x:c>
      <x:c r="F35" t="n">
        <x:f>MIN(IFERROR(FIND("^",E35),999),IFERROR(FIND("-",E35),999))</x:f>
        <x:v>2</x:v>
      </x:c>
      <x:c r="G35" t="str">
        <x:f>IF(OR(E35="",F35=999,LEN(E35)&lt;=F35),"",MID(E35,F35+1,99))</x:f>
        <x:v>DD</x:v>
      </x:c>
      <x:c r="H35" t="str">
        <x:f>IF(OR(E35="",F35=999),"",LEFT(E35,F35-1))</x:f>
        <x:v>S</x:v>
      </x:c>
      <x:c r="I35" t="n">
        <x:f>IF(MID(E35,F35,1)="-",0.75,IF(MID(E35,F35,1)="^",1,0))</x:f>
        <x:v>0.75</x:v>
      </x:c>
      <x:c r="J35" t="str">
        <x:f>IF(G35="","",IF(LEN(G35)=1,"=",LEFT(G35,LEN(G35)-1)))</x:f>
        <x:v>D</x:v>
      </x:c>
      <x:c r="K35" t="str">
        <x:f>IF(J35="","",IF(LEFT(J35,1)="=",H35,J35))</x:f>
        <x:v>D</x:v>
      </x:c>
      <x:c r="L35" t="str">
        <x:f>IF(G35="","",RIGHT(G35,1))</x:f>
        <x:v>D</x:v>
      </x:c>
      <x:c r="M35" t="n">
        <x:f>IF(L35="D",5,IF(L35="N",10,IF(L35="I",15,IF(L35="M",40,0))))</x:f>
        <x:v>5</x:v>
      </x:c>
    </x:row>
    <x:row r="36">
      <x:c r="A36" t="str">
        <x:v>liam|True/kind</x:v>
      </x:c>
      <x:c r="B36" t="str">
        <x:v>liam</x:v>
      </x:c>
      <x:c r="C36" t="str">
        <x:v>True/kind</x:v>
      </x:c>
      <x:c r="D36" t="str">
        <x:f>INDEX(Data!$C$2:$K$22,MATCH(B36,Data!$B$2:$B$22,0),MATCH(C36,Data!$C$1:$K$1,0))</x:f>
        <x:v>T^=N</x:v>
      </x:c>
      <x:c r="E36" t="str">
        <x:f>UPPER(SUBSTITUTE(TRIM(D36),"1","I"))</x:f>
        <x:v>T^=N</x:v>
      </x:c>
      <x:c r="F36" t="n">
        <x:f>MIN(IFERROR(FIND("^",E36),999),IFERROR(FIND("-",E36),999))</x:f>
        <x:v>2</x:v>
      </x:c>
      <x:c r="G36" t="str">
        <x:f>IF(OR(E36="",F36=999,LEN(E36)&lt;=F36),"",MID(E36,F36+1,99))</x:f>
        <x:v>=N</x:v>
      </x:c>
      <x:c r="H36" t="str">
        <x:f>IF(OR(E36="",F36=999),"",LEFT(E36,F36-1))</x:f>
        <x:v>T</x:v>
      </x:c>
      <x:c r="I36" t="n">
        <x:f>IF(MID(E36,F36,1)="-",0.75,IF(MID(E36,F36,1)="^",1,0))</x:f>
        <x:v>1</x:v>
      </x:c>
      <x:c r="J36" t="str">
        <x:f>IF(G36="","",IF(LEN(G36)=1,"=",LEFT(G36,LEN(G36)-1)))</x:f>
        <x:v>=</x:v>
      </x:c>
      <x:c r="K36" t="str">
        <x:f>IF(J36="","",IF(LEFT(J36,1)="=",H36,J36))</x:f>
        <x:v>T</x:v>
      </x:c>
      <x:c r="L36" t="str">
        <x:f>IF(G36="","",RIGHT(G36,1))</x:f>
        <x:v>N</x:v>
      </x:c>
      <x:c r="M36" t="n">
        <x:f>IF(L36="D",5,IF(L36="N",10,IF(L36="I",15,IF(L36="M",40,0))))</x:f>
        <x:v>10</x:v>
      </x:c>
    </x:row>
    <x:row r="37">
      <x:c r="A37" t="str">
        <x:v>liam|Animal</x:v>
      </x:c>
      <x:c r="B37" t="str">
        <x:v>liam</x:v>
      </x:c>
      <x:c r="C37" t="str">
        <x:v>Animal</x:v>
      </x:c>
      <x:c r="D37" t="str">
        <x:f>INDEX(Data!$C$2:$K$22,MATCH(B37,Data!$B$2:$B$22,0),MATCH(C37,Data!$C$1:$K$1,0))</x:f>
        <x:v>A-</x:v>
      </x:c>
      <x:c r="E37" t="str">
        <x:f>UPPER(SUBSTITUTE(TRIM(D37),"1","I"))</x:f>
        <x:v>A-</x:v>
      </x:c>
      <x:c r="F37" t="n">
        <x:f>MIN(IFERROR(FIND("^",E37),999),IFERROR(FIND("-",E37),999))</x:f>
        <x:v>2</x:v>
      </x:c>
      <x:c r="G37" t="str">
        <x:f>IF(OR(E37="",F37=999,LEN(E37)&lt;=F37),"",MID(E37,F37+1,99))</x:f>
      </x:c>
      <x:c r="H37" t="str">
        <x:f>IF(OR(E37="",F37=999),"",LEFT(E37,F37-1))</x:f>
        <x:v>A</x:v>
      </x:c>
      <x:c r="I37" t="n">
        <x:f>IF(MID(E37,F37,1)="-",0.75,IF(MID(E37,F37,1)="^",1,0))</x:f>
        <x:v>0.75</x:v>
      </x:c>
      <x:c r="J37" t="str">
        <x:f>IF(G37="","",IF(LEN(G37)=1,"=",LEFT(G37,LEN(G37)-1)))</x:f>
      </x:c>
      <x:c r="K37" t="str">
        <x:f>IF(J37="","",IF(LEFT(J37,1)="=",H37,J37))</x:f>
      </x:c>
      <x:c r="L37" t="str">
        <x:f>IF(G37="","",RIGHT(G37,1))</x:f>
      </x:c>
      <x:c r="M37" t="n">
        <x:f>IF(L37="D",5,IF(L37="N",10,IF(L37="I",15,IF(L37="M",40,0))))</x:f>
        <x:v>0</x:v>
      </x:c>
    </x:row>
    <x:row r="38">
      <x:c r="A38" t="str">
        <x:v>arthur|God</x:v>
      </x:c>
      <x:c r="B38" t="str">
        <x:v>arthur</x:v>
      </x:c>
      <x:c r="C38" t="str">
        <x:v>God</x:v>
      </x:c>
      <x:c r="D38" t="str">
        <x:f>INDEX(Data!$C$2:$K$22,MATCH(B38,Data!$B$2:$B$22,0),MATCH(C38,Data!$C$1:$K$1,0))</x:f>
        <x:v>N-</x:v>
      </x:c>
      <x:c r="E38" t="str">
        <x:f>UPPER(SUBSTITUTE(TRIM(D38),"1","I"))</x:f>
        <x:v>N-</x:v>
      </x:c>
      <x:c r="F38" t="n">
        <x:f>MIN(IFERROR(FIND("^",E38),999),IFERROR(FIND("-",E38),999))</x:f>
        <x:v>2</x:v>
      </x:c>
      <x:c r="G38" t="str">
        <x:f>IF(OR(E38="",F38=999,LEN(E38)&lt;=F38),"",MID(E38,F38+1,99))</x:f>
      </x:c>
      <x:c r="H38" t="str">
        <x:f>IF(OR(E38="",F38=999),"",LEFT(E38,F38-1))</x:f>
        <x:v>N</x:v>
      </x:c>
      <x:c r="I38" t="n">
        <x:f>IF(MID(E38,F38,1)="-",0.75,IF(MID(E38,F38,1)="^",1,0))</x:f>
        <x:v>0.75</x:v>
      </x:c>
      <x:c r="J38" t="str">
        <x:f>IF(G38="","",IF(LEN(G38)=1,"=",LEFT(G38,LEN(G38)-1)))</x:f>
      </x:c>
      <x:c r="K38" t="str">
        <x:f>IF(J38="","",IF(LEFT(J38,1)="=",H38,J38))</x:f>
      </x:c>
      <x:c r="L38" t="str">
        <x:f>IF(G38="","",RIGHT(G38,1))</x:f>
      </x:c>
      <x:c r="M38" t="n">
        <x:f>IF(L38="D",5,IF(L38="N",10,IF(L38="I",15,IF(L38="M",40,0))))</x:f>
        <x:v>0</x:v>
      </x:c>
    </x:row>
    <x:row r="39">
      <x:c r="A39" t="str">
        <x:v>arthur|Politics</x:v>
      </x:c>
      <x:c r="B39" t="str">
        <x:v>arthur</x:v>
      </x:c>
      <x:c r="C39" t="str">
        <x:v>Politics</x:v>
      </x:c>
      <x:c r="D39" t="str">
        <x:f>INDEX(Data!$C$2:$K$22,MATCH(B39,Data!$B$2:$B$22,0),MATCH(C39,Data!$C$1:$K$1,0))</x:f>
        <x:v>R-LN</x:v>
      </x:c>
      <x:c r="E39" t="str">
        <x:f>UPPER(SUBSTITUTE(TRIM(D39),"1","I"))</x:f>
        <x:v>R-LN</x:v>
      </x:c>
      <x:c r="F39" t="n">
        <x:f>MIN(IFERROR(FIND("^",E39),999),IFERROR(FIND("-",E39),999))</x:f>
        <x:v>2</x:v>
      </x:c>
      <x:c r="G39" t="str">
        <x:f>IF(OR(E39="",F39=999,LEN(E39)&lt;=F39),"",MID(E39,F39+1,99))</x:f>
        <x:v>LN</x:v>
      </x:c>
      <x:c r="H39" t="str">
        <x:f>IF(OR(E39="",F39=999),"",LEFT(E39,F39-1))</x:f>
        <x:v>R</x:v>
      </x:c>
      <x:c r="I39" t="n">
        <x:f>IF(MID(E39,F39,1)="-",0.75,IF(MID(E39,F39,1)="^",1,0))</x:f>
        <x:v>0.75</x:v>
      </x:c>
      <x:c r="J39" t="str">
        <x:f>IF(G39="","",IF(LEN(G39)=1,"=",LEFT(G39,LEN(G39)-1)))</x:f>
        <x:v>L</x:v>
      </x:c>
      <x:c r="K39" t="str">
        <x:f>IF(J39="","",IF(LEFT(J39,1)="=",H39,J39))</x:f>
        <x:v>L</x:v>
      </x:c>
      <x:c r="L39" t="str">
        <x:f>IF(G39="","",RIGHT(G39,1))</x:f>
        <x:v>N</x:v>
      </x:c>
      <x:c r="M39" t="n">
        <x:f>IF(L39="D",5,IF(L39="N",10,IF(L39="I",15,IF(L39="M",40,0))))</x:f>
        <x:v>10</x:v>
      </x:c>
    </x:row>
    <x:row r="40">
      <x:c r="A40" t="str">
        <x:v>arthur|Marriage</x:v>
      </x:c>
      <x:c r="B40" t="str">
        <x:v>arthur</x:v>
      </x:c>
      <x:c r="C40" t="str">
        <x:v>Marriage</x:v>
      </x:c>
      <x:c r="D40" t="str">
        <x:f>INDEX(Data!$C$2:$K$22,MATCH(B40,Data!$B$2:$B$22,0),MATCH(C40,Data!$C$1:$K$1,0))</x:f>
        <x:v>S-=N</x:v>
      </x:c>
      <x:c r="E40" t="str">
        <x:f>UPPER(SUBSTITUTE(TRIM(D40),"1","I"))</x:f>
        <x:v>S-=N</x:v>
      </x:c>
      <x:c r="F40" t="n">
        <x:f>MIN(IFERROR(FIND("^",E40),999),IFERROR(FIND("-",E40),999))</x:f>
        <x:v>2</x:v>
      </x:c>
      <x:c r="G40" t="str">
        <x:f>IF(OR(E40="",F40=999,LEN(E40)&lt;=F40),"",MID(E40,F40+1,99))</x:f>
        <x:v>=N</x:v>
      </x:c>
      <x:c r="H40" t="str">
        <x:f>IF(OR(E40="",F40=999),"",LEFT(E40,F40-1))</x:f>
        <x:v>S</x:v>
      </x:c>
      <x:c r="I40" t="n">
        <x:f>IF(MID(E40,F40,1)="-",0.75,IF(MID(E40,F40,1)="^",1,0))</x:f>
        <x:v>0.75</x:v>
      </x:c>
      <x:c r="J40" t="str">
        <x:f>IF(G40="","",IF(LEN(G40)=1,"=",LEFT(G40,LEN(G40)-1)))</x:f>
        <x:v>=</x:v>
      </x:c>
      <x:c r="K40" t="str">
        <x:f>IF(J40="","",IF(LEFT(J40,1)="=",H40,J40))</x:f>
        <x:v>S</x:v>
      </x:c>
      <x:c r="L40" t="str">
        <x:f>IF(G40="","",RIGHT(G40,1))</x:f>
        <x:v>N</x:v>
      </x:c>
      <x:c r="M40" t="n">
        <x:f>IF(L40="D",5,IF(L40="N",10,IF(L40="I",15,IF(L40="M",40,0))))</x:f>
        <x:v>10</x:v>
      </x:c>
    </x:row>
    <x:row r="41">
      <x:c r="A41" t="str">
        <x:v>arthur|Children</x:v>
      </x:c>
      <x:c r="B41" t="str">
        <x:v>arthur</x:v>
      </x:c>
      <x:c r="C41" t="str">
        <x:v>Children</x:v>
      </x:c>
      <x:c r="D41" t="str">
        <x:f>INDEX(Data!$C$2:$K$22,MATCH(B41,Data!$B$2:$B$22,0),MATCH(C41,Data!$C$1:$K$1,0))</x:f>
        <x:v>Y^=I</x:v>
      </x:c>
      <x:c r="E41" t="str">
        <x:f>UPPER(SUBSTITUTE(TRIM(D41),"1","I"))</x:f>
        <x:v>Y^=I</x:v>
      </x:c>
      <x:c r="F41" t="n">
        <x:f>MIN(IFERROR(FIND("^",E41),999),IFERROR(FIND("-",E41),999))</x:f>
        <x:v>2</x:v>
      </x:c>
      <x:c r="G41" t="str">
        <x:f>IF(OR(E41="",F41=999,LEN(E41)&lt;=F41),"",MID(E41,F41+1,99))</x:f>
        <x:v>=I</x:v>
      </x:c>
      <x:c r="H41" t="str">
        <x:f>IF(OR(E41="",F41=999),"",LEFT(E41,F41-1))</x:f>
        <x:v>Y</x:v>
      </x:c>
      <x:c r="I41" t="n">
        <x:f>IF(MID(E41,F41,1)="-",0.75,IF(MID(E41,F41,1)="^",1,0))</x:f>
        <x:v>1</x:v>
      </x:c>
      <x:c r="J41" t="str">
        <x:f>IF(G41="","",IF(LEN(G41)=1,"=",LEFT(G41,LEN(G41)-1)))</x:f>
        <x:v>=</x:v>
      </x:c>
      <x:c r="K41" t="str">
        <x:f>IF(J41="","",IF(LEFT(J41,1)="=",H41,J41))</x:f>
        <x:v>Y</x:v>
      </x:c>
      <x:c r="L41" t="str">
        <x:f>IF(G41="","",RIGHT(G41,1))</x:f>
        <x:v>I</x:v>
      </x:c>
      <x:c r="M41" t="n">
        <x:f>IF(L41="D",5,IF(L41="N",10,IF(L41="I",15,IF(L41="M",40,0))))</x:f>
        <x:v>15</x:v>
      </x:c>
    </x:row>
    <x:row r="42">
      <x:c r="A42" t="str">
        <x:v>arthur|Ethicity</x:v>
      </x:c>
      <x:c r="B42" t="str">
        <x:v>arthur</x:v>
      </x:c>
      <x:c r="C42" t="str">
        <x:v>Ethicity</x:v>
      </x:c>
      <x:c r="D42" t="str">
        <x:f>INDEX(Data!$C$2:$K$22,MATCH(B42,Data!$B$2:$B$22,0),MATCH(C42,Data!$C$1:$K$1,0))</x:f>
        <x:v>A^</x:v>
      </x:c>
      <x:c r="E42" t="str">
        <x:f>UPPER(SUBSTITUTE(TRIM(D42),"1","I"))</x:f>
        <x:v>A^</x:v>
      </x:c>
      <x:c r="F42" t="n">
        <x:f>MIN(IFERROR(FIND("^",E42),999),IFERROR(FIND("-",E42),999))</x:f>
        <x:v>2</x:v>
      </x:c>
      <x:c r="G42" t="str">
        <x:f>IF(OR(E42="",F42=999,LEN(E42)&lt;=F42),"",MID(E42,F42+1,99))</x:f>
      </x:c>
      <x:c r="H42" t="str">
        <x:f>IF(OR(E42="",F42=999),"",LEFT(E42,F42-1))</x:f>
        <x:v>A</x:v>
      </x:c>
      <x:c r="I42" t="n">
        <x:f>IF(MID(E42,F42,1)="-",0.75,IF(MID(E42,F42,1)="^",1,0))</x:f>
        <x:v>1</x:v>
      </x:c>
      <x:c r="J42" t="str">
        <x:f>IF(G42="","",IF(LEN(G42)=1,"=",LEFT(G42,LEN(G42)-1)))</x:f>
      </x:c>
      <x:c r="K42" t="str">
        <x:f>IF(J42="","",IF(LEFT(J42,1)="=",H42,J42))</x:f>
      </x:c>
      <x:c r="L42" t="str">
        <x:f>IF(G42="","",RIGHT(G42,1))</x:f>
      </x:c>
      <x:c r="M42" t="n">
        <x:f>IF(L42="D",5,IF(L42="N",10,IF(L42="I",15,IF(L42="M",40,0))))</x:f>
        <x:v>0</x:v>
      </x:c>
    </x:row>
    <x:row r="43">
      <x:c r="A43" t="str">
        <x:v>arthur|Past</x:v>
      </x:c>
      <x:c r="B43" t="str">
        <x:v>arthur</x:v>
      </x:c>
      <x:c r="C43" t="str">
        <x:v>Past</x:v>
      </x:c>
      <x:c r="D43" t="str">
        <x:f>INDEX(Data!$C$2:$K$22,MATCH(B43,Data!$B$2:$B$22,0),MATCH(C43,Data!$C$1:$K$1,0))</x:f>
        <x:v>N-=D</x:v>
      </x:c>
      <x:c r="E43" t="str">
        <x:f>UPPER(SUBSTITUTE(TRIM(D43),"1","I"))</x:f>
        <x:v>N-=D</x:v>
      </x:c>
      <x:c r="F43" t="n">
        <x:f>MIN(IFERROR(FIND("^",E43),999),IFERROR(FIND("-",E43),999))</x:f>
        <x:v>2</x:v>
      </x:c>
      <x:c r="G43" t="str">
        <x:f>IF(OR(E43="",F43=999,LEN(E43)&lt;=F43),"",MID(E43,F43+1,99))</x:f>
        <x:v>=D</x:v>
      </x:c>
      <x:c r="H43" t="str">
        <x:f>IF(OR(E43="",F43=999),"",LEFT(E43,F43-1))</x:f>
        <x:v>N</x:v>
      </x:c>
      <x:c r="I43" t="n">
        <x:f>IF(MID(E43,F43,1)="-",0.75,IF(MID(E43,F43,1)="^",1,0))</x:f>
        <x:v>0.75</x:v>
      </x:c>
      <x:c r="J43" t="str">
        <x:f>IF(G43="","",IF(LEN(G43)=1,"=",LEFT(G43,LEN(G43)-1)))</x:f>
        <x:v>=</x:v>
      </x:c>
      <x:c r="K43" t="str">
        <x:f>IF(J43="","",IF(LEFT(J43,1)="=",H43,J43))</x:f>
        <x:v>N</x:v>
      </x:c>
      <x:c r="L43" t="str">
        <x:f>IF(G43="","",RIGHT(G43,1))</x:f>
        <x:v>D</x:v>
      </x:c>
      <x:c r="M43" t="n">
        <x:f>IF(L43="D",5,IF(L43="N",10,IF(L43="I",15,IF(L43="M",40,0))))</x:f>
        <x:v>5</x:v>
      </x:c>
    </x:row>
    <x:row r="44">
      <x:c r="A44" t="str">
        <x:v>arthur|D/S</x:v>
      </x:c>
      <x:c r="B44" t="str">
        <x:v>arthur</x:v>
      </x:c>
      <x:c r="C44" t="str">
        <x:v>D/S</x:v>
      </x:c>
      <x:c r="D44" t="str">
        <x:f>INDEX(Data!$C$2:$K$22,MATCH(B44,Data!$B$2:$B$22,0),MATCH(C44,Data!$C$1:$K$1,0))</x:f>
        <x:v>S-DN</x:v>
      </x:c>
      <x:c r="E44" t="str">
        <x:f>UPPER(SUBSTITUTE(TRIM(D44),"1","I"))</x:f>
        <x:v>S-DN</x:v>
      </x:c>
      <x:c r="F44" t="n">
        <x:f>MIN(IFERROR(FIND("^",E44),999),IFERROR(FIND("-",E44),999))</x:f>
        <x:v>2</x:v>
      </x:c>
      <x:c r="G44" t="str">
        <x:f>IF(OR(E44="",F44=999,LEN(E44)&lt;=F44),"",MID(E44,F44+1,99))</x:f>
        <x:v>DN</x:v>
      </x:c>
      <x:c r="H44" t="str">
        <x:f>IF(OR(E44="",F44=999),"",LEFT(E44,F44-1))</x:f>
        <x:v>S</x:v>
      </x:c>
      <x:c r="I44" t="n">
        <x:f>IF(MID(E44,F44,1)="-",0.75,IF(MID(E44,F44,1)="^",1,0))</x:f>
        <x:v>0.75</x:v>
      </x:c>
      <x:c r="J44" t="str">
        <x:f>IF(G44="","",IF(LEN(G44)=1,"=",LEFT(G44,LEN(G44)-1)))</x:f>
        <x:v>D</x:v>
      </x:c>
      <x:c r="K44" t="str">
        <x:f>IF(J44="","",IF(LEFT(J44,1)="=",H44,J44))</x:f>
        <x:v>D</x:v>
      </x:c>
      <x:c r="L44" t="str">
        <x:f>IF(G44="","",RIGHT(G44,1))</x:f>
        <x:v>N</x:v>
      </x:c>
      <x:c r="M44" t="n">
        <x:f>IF(L44="D",5,IF(L44="N",10,IF(L44="I",15,IF(L44="M",40,0))))</x:f>
        <x:v>10</x:v>
      </x:c>
    </x:row>
    <x:row r="45">
      <x:c r="A45" t="str">
        <x:v>arthur|True/kind</x:v>
      </x:c>
      <x:c r="B45" t="str">
        <x:v>arthur</x:v>
      </x:c>
      <x:c r="C45" t="str">
        <x:v>True/kind</x:v>
      </x:c>
      <x:c r="D45" t="str">
        <x:f>INDEX(Data!$C$2:$K$22,MATCH(B45,Data!$B$2:$B$22,0),MATCH(C45,Data!$C$1:$K$1,0))</x:f>
        <x:v>T^KM</x:v>
      </x:c>
      <x:c r="E45" t="str">
        <x:f>UPPER(SUBSTITUTE(TRIM(D45),"1","I"))</x:f>
        <x:v>T^KM</x:v>
      </x:c>
      <x:c r="F45" t="n">
        <x:f>MIN(IFERROR(FIND("^",E45),999),IFERROR(FIND("-",E45),999))</x:f>
        <x:v>2</x:v>
      </x:c>
      <x:c r="G45" t="str">
        <x:f>IF(OR(E45="",F45=999,LEN(E45)&lt;=F45),"",MID(E45,F45+1,99))</x:f>
        <x:v>KM</x:v>
      </x:c>
      <x:c r="H45" t="str">
        <x:f>IF(OR(E45="",F45=999),"",LEFT(E45,F45-1))</x:f>
        <x:v>T</x:v>
      </x:c>
      <x:c r="I45" t="n">
        <x:f>IF(MID(E45,F45,1)="-",0.75,IF(MID(E45,F45,1)="^",1,0))</x:f>
        <x:v>1</x:v>
      </x:c>
      <x:c r="J45" t="str">
        <x:f>IF(G45="","",IF(LEN(G45)=1,"=",LEFT(G45,LEN(G45)-1)))</x:f>
        <x:v>K</x:v>
      </x:c>
      <x:c r="K45" t="str">
        <x:f>IF(J45="","",IF(LEFT(J45,1)="=",H45,J45))</x:f>
        <x:v>K</x:v>
      </x:c>
      <x:c r="L45" t="str">
        <x:f>IF(G45="","",RIGHT(G45,1))</x:f>
        <x:v>M</x:v>
      </x:c>
      <x:c r="M45" t="n">
        <x:f>IF(L45="D",5,IF(L45="N",10,IF(L45="I",15,IF(L45="M",40,0))))</x:f>
        <x:v>40</x:v>
      </x:c>
    </x:row>
    <x:row r="46">
      <x:c r="A46" t="str">
        <x:v>arthur|Animal</x:v>
      </x:c>
      <x:c r="B46" t="str">
        <x:v>arthur</x:v>
      </x:c>
      <x:c r="C46" t="str">
        <x:v>Animal</x:v>
      </x:c>
      <x:c r="D46" t="str">
        <x:f>INDEX(Data!$C$2:$K$22,MATCH(B46,Data!$B$2:$B$22,0),MATCH(C46,Data!$C$1:$K$1,0))</x:f>
        <x:v>A-=D</x:v>
      </x:c>
      <x:c r="E46" t="str">
        <x:f>UPPER(SUBSTITUTE(TRIM(D46),"1","I"))</x:f>
        <x:v>A-=D</x:v>
      </x:c>
      <x:c r="F46" t="n">
        <x:f>MIN(IFERROR(FIND("^",E46),999),IFERROR(FIND("-",E46),999))</x:f>
        <x:v>2</x:v>
      </x:c>
      <x:c r="G46" t="str">
        <x:f>IF(OR(E46="",F46=999,LEN(E46)&lt;=F46),"",MID(E46,F46+1,99))</x:f>
        <x:v>=D</x:v>
      </x:c>
      <x:c r="H46" t="str">
        <x:f>IF(OR(E46="",F46=999),"",LEFT(E46,F46-1))</x:f>
        <x:v>A</x:v>
      </x:c>
      <x:c r="I46" t="n">
        <x:f>IF(MID(E46,F46,1)="-",0.75,IF(MID(E46,F46,1)="^",1,0))</x:f>
        <x:v>0.75</x:v>
      </x:c>
      <x:c r="J46" t="str">
        <x:f>IF(G46="","",IF(LEN(G46)=1,"=",LEFT(G46,LEN(G46)-1)))</x:f>
        <x:v>=</x:v>
      </x:c>
      <x:c r="K46" t="str">
        <x:f>IF(J46="","",IF(LEFT(J46,1)="=",H46,J46))</x:f>
        <x:v>A</x:v>
      </x:c>
      <x:c r="L46" t="str">
        <x:f>IF(G46="","",RIGHT(G46,1))</x:f>
        <x:v>D</x:v>
      </x:c>
      <x:c r="M46" t="n">
        <x:f>IF(L46="D",5,IF(L46="N",10,IF(L46="I",15,IF(L46="M",40,0))))</x:f>
        <x:v>5</x:v>
      </x:c>
    </x:row>
    <x:row r="47">
      <x:c r="A47" t="str">
        <x:v>harry|God</x:v>
      </x:c>
      <x:c r="B47" t="str">
        <x:v>harry</x:v>
      </x:c>
      <x:c r="C47" t="str">
        <x:v>God</x:v>
      </x:c>
      <x:c r="D47" t="str">
        <x:f>INDEX(Data!$C$2:$K$22,MATCH(B47,Data!$B$2:$B$22,0),MATCH(C47,Data!$C$1:$K$1,0))</x:f>
        <x:v>N-=N</x:v>
      </x:c>
      <x:c r="E47" t="str">
        <x:f>UPPER(SUBSTITUTE(TRIM(D47),"1","I"))</x:f>
        <x:v>N-=N</x:v>
      </x:c>
      <x:c r="F47" t="n">
        <x:f>MIN(IFERROR(FIND("^",E47),999),IFERROR(FIND("-",E47),999))</x:f>
        <x:v>2</x:v>
      </x:c>
      <x:c r="G47" t="str">
        <x:f>IF(OR(E47="",F47=999,LEN(E47)&lt;=F47),"",MID(E47,F47+1,99))</x:f>
        <x:v>=N</x:v>
      </x:c>
      <x:c r="H47" t="str">
        <x:f>IF(OR(E47="",F47=999),"",LEFT(E47,F47-1))</x:f>
        <x:v>N</x:v>
      </x:c>
      <x:c r="I47" t="n">
        <x:f>IF(MID(E47,F47,1)="-",0.75,IF(MID(E47,F47,1)="^",1,0))</x:f>
        <x:v>0.75</x:v>
      </x:c>
      <x:c r="J47" t="str">
        <x:f>IF(G47="","",IF(LEN(G47)=1,"=",LEFT(G47,LEN(G47)-1)))</x:f>
        <x:v>=</x:v>
      </x:c>
      <x:c r="K47" t="str">
        <x:f>IF(J47="","",IF(LEFT(J47,1)="=",H47,J47))</x:f>
        <x:v>N</x:v>
      </x:c>
      <x:c r="L47" t="str">
        <x:f>IF(G47="","",RIGHT(G47,1))</x:f>
        <x:v>N</x:v>
      </x:c>
      <x:c r="M47" t="n">
        <x:f>IF(L47="D",5,IF(L47="N",10,IF(L47="I",15,IF(L47="M",40,0))))</x:f>
        <x:v>10</x:v>
      </x:c>
    </x:row>
    <x:row r="48">
      <x:c r="A48" t="str">
        <x:v>harry|Politics</x:v>
      </x:c>
      <x:c r="B48" t="str">
        <x:v>harry</x:v>
      </x:c>
      <x:c r="C48" t="str">
        <x:v>Politics</x:v>
      </x:c>
      <x:c r="D48" t="str">
        <x:f>INDEX(Data!$C$2:$K$22,MATCH(B48,Data!$B$2:$B$22,0),MATCH(C48,Data!$C$1:$K$1,0))</x:f>
        <x:v>R-</x:v>
      </x:c>
      <x:c r="E48" t="str">
        <x:f>UPPER(SUBSTITUTE(TRIM(D48),"1","I"))</x:f>
        <x:v>R-</x:v>
      </x:c>
      <x:c r="F48" t="n">
        <x:f>MIN(IFERROR(FIND("^",E48),999),IFERROR(FIND("-",E48),999))</x:f>
        <x:v>2</x:v>
      </x:c>
      <x:c r="G48" t="str">
        <x:f>IF(OR(E48="",F48=999,LEN(E48)&lt;=F48),"",MID(E48,F48+1,99))</x:f>
      </x:c>
      <x:c r="H48" t="str">
        <x:f>IF(OR(E48="",F48=999),"",LEFT(E48,F48-1))</x:f>
        <x:v>R</x:v>
      </x:c>
      <x:c r="I48" t="n">
        <x:f>IF(MID(E48,F48,1)="-",0.75,IF(MID(E48,F48,1)="^",1,0))</x:f>
        <x:v>0.75</x:v>
      </x:c>
      <x:c r="J48" t="str">
        <x:f>IF(G48="","",IF(LEN(G48)=1,"=",LEFT(G48,LEN(G48)-1)))</x:f>
      </x:c>
      <x:c r="K48" t="str">
        <x:f>IF(J48="","",IF(LEFT(J48,1)="=",H48,J48))</x:f>
      </x:c>
      <x:c r="L48" t="str">
        <x:f>IF(G48="","",RIGHT(G48,1))</x:f>
      </x:c>
      <x:c r="M48" t="n">
        <x:f>IF(L48="D",5,IF(L48="N",10,IF(L48="I",15,IF(L48="M",40,0))))</x:f>
        <x:v>0</x:v>
      </x:c>
    </x:row>
    <x:row r="49">
      <x:c r="A49" t="str">
        <x:v>harry|Marriage</x:v>
      </x:c>
      <x:c r="B49" t="str">
        <x:v>harry</x:v>
      </x:c>
      <x:c r="C49" t="str">
        <x:v>Marriage</x:v>
      </x:c>
      <x:c r="D49" t="str">
        <x:f>INDEX(Data!$C$2:$K$22,MATCH(B49,Data!$B$2:$B$22,0),MATCH(C49,Data!$C$1:$K$1,0))</x:f>
        <x:v>S^=M</x:v>
      </x:c>
      <x:c r="E49" t="str">
        <x:f>UPPER(SUBSTITUTE(TRIM(D49),"1","I"))</x:f>
        <x:v>S^=M</x:v>
      </x:c>
      <x:c r="F49" t="n">
        <x:f>MIN(IFERROR(FIND("^",E49),999),IFERROR(FIND("-",E49),999))</x:f>
        <x:v>2</x:v>
      </x:c>
      <x:c r="G49" t="str">
        <x:f>IF(OR(E49="",F49=999,LEN(E49)&lt;=F49),"",MID(E49,F49+1,99))</x:f>
        <x:v>=M</x:v>
      </x:c>
      <x:c r="H49" t="str">
        <x:f>IF(OR(E49="",F49=999),"",LEFT(E49,F49-1))</x:f>
        <x:v>S</x:v>
      </x:c>
      <x:c r="I49" t="n">
        <x:f>IF(MID(E49,F49,1)="-",0.75,IF(MID(E49,F49,1)="^",1,0))</x:f>
        <x:v>1</x:v>
      </x:c>
      <x:c r="J49" t="str">
        <x:f>IF(G49="","",IF(LEN(G49)=1,"=",LEFT(G49,LEN(G49)-1)))</x:f>
        <x:v>=</x:v>
      </x:c>
      <x:c r="K49" t="str">
        <x:f>IF(J49="","",IF(LEFT(J49,1)="=",H49,J49))</x:f>
        <x:v>S</x:v>
      </x:c>
      <x:c r="L49" t="str">
        <x:f>IF(G49="","",RIGHT(G49,1))</x:f>
        <x:v>M</x:v>
      </x:c>
      <x:c r="M49" t="n">
        <x:f>IF(L49="D",5,IF(L49="N",10,IF(L49="I",15,IF(L49="M",40,0))))</x:f>
        <x:v>40</x:v>
      </x:c>
    </x:row>
    <x:row r="50">
      <x:c r="A50" t="str">
        <x:v>harry|Children</x:v>
      </x:c>
      <x:c r="B50" t="str">
        <x:v>harry</x:v>
      </x:c>
      <x:c r="C50" t="str">
        <x:v>Children</x:v>
      </x:c>
      <x:c r="D50" t="str">
        <x:f>INDEX(Data!$C$2:$K$22,MATCH(B50,Data!$B$2:$B$22,0),MATCH(C50,Data!$C$1:$K$1,0))</x:f>
        <x:v>Y^=I</x:v>
      </x:c>
      <x:c r="E50" t="str">
        <x:f>UPPER(SUBSTITUTE(TRIM(D50),"1","I"))</x:f>
        <x:v>Y^=I</x:v>
      </x:c>
      <x:c r="F50" t="n">
        <x:f>MIN(IFERROR(FIND("^",E50),999),IFERROR(FIND("-",E50),999))</x:f>
        <x:v>2</x:v>
      </x:c>
      <x:c r="G50" t="str">
        <x:f>IF(OR(E50="",F50=999,LEN(E50)&lt;=F50),"",MID(E50,F50+1,99))</x:f>
        <x:v>=I</x:v>
      </x:c>
      <x:c r="H50" t="str">
        <x:f>IF(OR(E50="",F50=999),"",LEFT(E50,F50-1))</x:f>
        <x:v>Y</x:v>
      </x:c>
      <x:c r="I50" t="n">
        <x:f>IF(MID(E50,F50,1)="-",0.75,IF(MID(E50,F50,1)="^",1,0))</x:f>
        <x:v>1</x:v>
      </x:c>
      <x:c r="J50" t="str">
        <x:f>IF(G50="","",IF(LEN(G50)=1,"=",LEFT(G50,LEN(G50)-1)))</x:f>
        <x:v>=</x:v>
      </x:c>
      <x:c r="K50" t="str">
        <x:f>IF(J50="","",IF(LEFT(J50,1)="=",H50,J50))</x:f>
        <x:v>Y</x:v>
      </x:c>
      <x:c r="L50" t="str">
        <x:f>IF(G50="","",RIGHT(G50,1))</x:f>
        <x:v>I</x:v>
      </x:c>
      <x:c r="M50" t="n">
        <x:f>IF(L50="D",5,IF(L50="N",10,IF(L50="I",15,IF(L50="M",40,0))))</x:f>
        <x:v>15</x:v>
      </x:c>
    </x:row>
    <x:row r="51">
      <x:c r="A51" t="str">
        <x:v>harry|Ethicity</x:v>
      </x:c>
      <x:c r="B51" t="str">
        <x:v>harry</x:v>
      </x:c>
      <x:c r="C51" t="str">
        <x:v>Ethicity</x:v>
      </x:c>
      <x:c r="D51" t="str">
        <x:f>INDEX(Data!$C$2:$K$22,MATCH(B51,Data!$B$2:$B$22,0),MATCH(C51,Data!$C$1:$K$1,0))</x:f>
        <x:v>A^=N</x:v>
      </x:c>
      <x:c r="E51" t="str">
        <x:f>UPPER(SUBSTITUTE(TRIM(D51),"1","I"))</x:f>
        <x:v>A^=N</x:v>
      </x:c>
      <x:c r="F51" t="n">
        <x:f>MIN(IFERROR(FIND("^",E51),999),IFERROR(FIND("-",E51),999))</x:f>
        <x:v>2</x:v>
      </x:c>
      <x:c r="G51" t="str">
        <x:f>IF(OR(E51="",F51=999,LEN(E51)&lt;=F51),"",MID(E51,F51+1,99))</x:f>
        <x:v>=N</x:v>
      </x:c>
      <x:c r="H51" t="str">
        <x:f>IF(OR(E51="",F51=999),"",LEFT(E51,F51-1))</x:f>
        <x:v>A</x:v>
      </x:c>
      <x:c r="I51" t="n">
        <x:f>IF(MID(E51,F51,1)="-",0.75,IF(MID(E51,F51,1)="^",1,0))</x:f>
        <x:v>1</x:v>
      </x:c>
      <x:c r="J51" t="str">
        <x:f>IF(G51="","",IF(LEN(G51)=1,"=",LEFT(G51,LEN(G51)-1)))</x:f>
        <x:v>=</x:v>
      </x:c>
      <x:c r="K51" t="str">
        <x:f>IF(J51="","",IF(LEFT(J51,1)="=",H51,J51))</x:f>
        <x:v>A</x:v>
      </x:c>
      <x:c r="L51" t="str">
        <x:f>IF(G51="","",RIGHT(G51,1))</x:f>
        <x:v>N</x:v>
      </x:c>
      <x:c r="M51" t="n">
        <x:f>IF(L51="D",5,IF(L51="N",10,IF(L51="I",15,IF(L51="M",40,0))))</x:f>
        <x:v>10</x:v>
      </x:c>
    </x:row>
    <x:row r="52">
      <x:c r="A52" t="str">
        <x:v>harry|Past</x:v>
      </x:c>
      <x:c r="B52" t="str">
        <x:v>harry</x:v>
      </x:c>
      <x:c r="C52" t="str">
        <x:v>Past</x:v>
      </x:c>
      <x:c r="D52" t="str">
        <x:f>INDEX(Data!$C$2:$K$22,MATCH(B52,Data!$B$2:$B$22,0),MATCH(C52,Data!$C$1:$K$1,0))</x:f>
        <x:v>N^=D</x:v>
      </x:c>
      <x:c r="E52" t="str">
        <x:f>UPPER(SUBSTITUTE(TRIM(D52),"1","I"))</x:f>
        <x:v>N^=D</x:v>
      </x:c>
      <x:c r="F52" t="n">
        <x:f>MIN(IFERROR(FIND("^",E52),999),IFERROR(FIND("-",E52),999))</x:f>
        <x:v>2</x:v>
      </x:c>
      <x:c r="G52" t="str">
        <x:f>IF(OR(E52="",F52=999,LEN(E52)&lt;=F52),"",MID(E52,F52+1,99))</x:f>
        <x:v>=D</x:v>
      </x:c>
      <x:c r="H52" t="str">
        <x:f>IF(OR(E52="",F52=999),"",LEFT(E52,F52-1))</x:f>
        <x:v>N</x:v>
      </x:c>
      <x:c r="I52" t="n">
        <x:f>IF(MID(E52,F52,1)="-",0.75,IF(MID(E52,F52,1)="^",1,0))</x:f>
        <x:v>1</x:v>
      </x:c>
      <x:c r="J52" t="str">
        <x:f>IF(G52="","",IF(LEN(G52)=1,"=",LEFT(G52,LEN(G52)-1)))</x:f>
        <x:v>=</x:v>
      </x:c>
      <x:c r="K52" t="str">
        <x:f>IF(J52="","",IF(LEFT(J52,1)="=",H52,J52))</x:f>
        <x:v>N</x:v>
      </x:c>
      <x:c r="L52" t="str">
        <x:f>IF(G52="","",RIGHT(G52,1))</x:f>
        <x:v>D</x:v>
      </x:c>
      <x:c r="M52" t="n">
        <x:f>IF(L52="D",5,IF(L52="N",10,IF(L52="I",15,IF(L52="M",40,0))))</x:f>
        <x:v>5</x:v>
      </x:c>
    </x:row>
    <x:row r="53">
      <x:c r="A53" t="str">
        <x:v>harry|D/S</x:v>
      </x:c>
      <x:c r="B53" t="str">
        <x:v>harry</x:v>
      </x:c>
      <x:c r="C53" t="str">
        <x:v>D/S</x:v>
      </x:c>
      <x:c r="D53" t="str">
        <x:f>INDEX(Data!$C$2:$K$22,MATCH(B53,Data!$B$2:$B$22,0),MATCH(C53,Data!$C$1:$K$1,0))</x:f>
        <x:v>S^DN</x:v>
      </x:c>
      <x:c r="E53" t="str">
        <x:f>UPPER(SUBSTITUTE(TRIM(D53),"1","I"))</x:f>
        <x:v>S^DN</x:v>
      </x:c>
      <x:c r="F53" t="n">
        <x:f>MIN(IFERROR(FIND("^",E53),999),IFERROR(FIND("-",E53),999))</x:f>
        <x:v>2</x:v>
      </x:c>
      <x:c r="G53" t="str">
        <x:f>IF(OR(E53="",F53=999,LEN(E53)&lt;=F53),"",MID(E53,F53+1,99))</x:f>
        <x:v>DN</x:v>
      </x:c>
      <x:c r="H53" t="str">
        <x:f>IF(OR(E53="",F53=999),"",LEFT(E53,F53-1))</x:f>
        <x:v>S</x:v>
      </x:c>
      <x:c r="I53" t="n">
        <x:f>IF(MID(E53,F53,1)="-",0.75,IF(MID(E53,F53,1)="^",1,0))</x:f>
        <x:v>1</x:v>
      </x:c>
      <x:c r="J53" t="str">
        <x:f>IF(G53="","",IF(LEN(G53)=1,"=",LEFT(G53,LEN(G53)-1)))</x:f>
        <x:v>D</x:v>
      </x:c>
      <x:c r="K53" t="str">
        <x:f>IF(J53="","",IF(LEFT(J53,1)="=",H53,J53))</x:f>
        <x:v>D</x:v>
      </x:c>
      <x:c r="L53" t="str">
        <x:f>IF(G53="","",RIGHT(G53,1))</x:f>
        <x:v>N</x:v>
      </x:c>
      <x:c r="M53" t="n">
        <x:f>IF(L53="D",5,IF(L53="N",10,IF(L53="I",15,IF(L53="M",40,0))))</x:f>
        <x:v>10</x:v>
      </x:c>
    </x:row>
    <x:row r="54">
      <x:c r="A54" t="str">
        <x:v>harry|True/kind</x:v>
      </x:c>
      <x:c r="B54" t="str">
        <x:v>harry</x:v>
      </x:c>
      <x:c r="C54" t="str">
        <x:v>True/kind</x:v>
      </x:c>
      <x:c r="D54" t="str">
        <x:f>INDEX(Data!$C$2:$K$22,MATCH(B54,Data!$B$2:$B$22,0),MATCH(C54,Data!$C$1:$K$1,0))</x:f>
        <x:v>T-=I</x:v>
      </x:c>
      <x:c r="E54" t="str">
        <x:f>UPPER(SUBSTITUTE(TRIM(D54),"1","I"))</x:f>
        <x:v>T-=I</x:v>
      </x:c>
      <x:c r="F54" t="n">
        <x:f>MIN(IFERROR(FIND("^",E54),999),IFERROR(FIND("-",E54),999))</x:f>
        <x:v>2</x:v>
      </x:c>
      <x:c r="G54" t="str">
        <x:f>IF(OR(E54="",F54=999,LEN(E54)&lt;=F54),"",MID(E54,F54+1,99))</x:f>
        <x:v>=I</x:v>
      </x:c>
      <x:c r="H54" t="str">
        <x:f>IF(OR(E54="",F54=999),"",LEFT(E54,F54-1))</x:f>
        <x:v>T</x:v>
      </x:c>
      <x:c r="I54" t="n">
        <x:f>IF(MID(E54,F54,1)="-",0.75,IF(MID(E54,F54,1)="^",1,0))</x:f>
        <x:v>0.75</x:v>
      </x:c>
      <x:c r="J54" t="str">
        <x:f>IF(G54="","",IF(LEN(G54)=1,"=",LEFT(G54,LEN(G54)-1)))</x:f>
        <x:v>=</x:v>
      </x:c>
      <x:c r="K54" t="str">
        <x:f>IF(J54="","",IF(LEFT(J54,1)="=",H54,J54))</x:f>
        <x:v>T</x:v>
      </x:c>
      <x:c r="L54" t="str">
        <x:f>IF(G54="","",RIGHT(G54,1))</x:f>
        <x:v>I</x:v>
      </x:c>
      <x:c r="M54" t="n">
        <x:f>IF(L54="D",5,IF(L54="N",10,IF(L54="I",15,IF(L54="M",40,0))))</x:f>
        <x:v>15</x:v>
      </x:c>
    </x:row>
    <x:row r="55">
      <x:c r="A55" t="str">
        <x:v>harry|Animal</x:v>
      </x:c>
      <x:c r="B55" t="str">
        <x:v>harry</x:v>
      </x:c>
      <x:c r="C55" t="str">
        <x:v>Animal</x:v>
      </x:c>
      <x:c r="D55" t="str">
        <x:f>INDEX(Data!$C$2:$K$22,MATCH(B55,Data!$B$2:$B$22,0),MATCH(C55,Data!$C$1:$K$1,0))</x:f>
        <x:v>N-</x:v>
      </x:c>
      <x:c r="E55" t="str">
        <x:f>UPPER(SUBSTITUTE(TRIM(D55),"1","I"))</x:f>
        <x:v>N-</x:v>
      </x:c>
      <x:c r="F55" t="n">
        <x:f>MIN(IFERROR(FIND("^",E55),999),IFERROR(FIND("-",E55),999))</x:f>
        <x:v>2</x:v>
      </x:c>
      <x:c r="G55" t="str">
        <x:f>IF(OR(E55="",F55=999,LEN(E55)&lt;=F55),"",MID(E55,F55+1,99))</x:f>
      </x:c>
      <x:c r="H55" t="str">
        <x:f>IF(OR(E55="",F55=999),"",LEFT(E55,F55-1))</x:f>
        <x:v>N</x:v>
      </x:c>
      <x:c r="I55" t="n">
        <x:f>IF(MID(E55,F55,1)="-",0.75,IF(MID(E55,F55,1)="^",1,0))</x:f>
        <x:v>0.75</x:v>
      </x:c>
      <x:c r="J55" t="str">
        <x:f>IF(G55="","",IF(LEN(G55)=1,"=",LEFT(G55,LEN(G55)-1)))</x:f>
      </x:c>
      <x:c r="K55" t="str">
        <x:f>IF(J55="","",IF(LEFT(J55,1)="=",H55,J55))</x:f>
      </x:c>
      <x:c r="L55" t="str">
        <x:f>IF(G55="","",RIGHT(G55,1))</x:f>
      </x:c>
      <x:c r="M55" t="n">
        <x:f>IF(L55="D",5,IF(L55="N",10,IF(L55="I",15,IF(L55="M",40,0))))</x:f>
        <x:v>0</x:v>
      </x:c>
    </x:row>
    <x:row r="56">
      <x:c r="A56" t="str">
        <x:v>lawrence|God</x:v>
      </x:c>
      <x:c r="B56" t="str">
        <x:v>lawrence</x:v>
      </x:c>
      <x:c r="C56" t="str">
        <x:v>God</x:v>
      </x:c>
      <x:c r="D56" t="str">
        <x:f>INDEX(Data!$C$2:$K$22,MATCH(B56,Data!$B$2:$B$22,0),MATCH(C56,Data!$C$1:$K$1,0))</x:f>
        <x:v>N-=D</x:v>
      </x:c>
      <x:c r="E56" t="str">
        <x:f>UPPER(SUBSTITUTE(TRIM(D56),"1","I"))</x:f>
        <x:v>N-=D</x:v>
      </x:c>
      <x:c r="F56" t="n">
        <x:f>MIN(IFERROR(FIND("^",E56),999),IFERROR(FIND("-",E56),999))</x:f>
        <x:v>2</x:v>
      </x:c>
      <x:c r="G56" t="str">
        <x:f>IF(OR(E56="",F56=999,LEN(E56)&lt;=F56),"",MID(E56,F56+1,99))</x:f>
        <x:v>=D</x:v>
      </x:c>
      <x:c r="H56" t="str">
        <x:f>IF(OR(E56="",F56=999),"",LEFT(E56,F56-1))</x:f>
        <x:v>N</x:v>
      </x:c>
      <x:c r="I56" t="n">
        <x:f>IF(MID(E56,F56,1)="-",0.75,IF(MID(E56,F56,1)="^",1,0))</x:f>
        <x:v>0.75</x:v>
      </x:c>
      <x:c r="J56" t="str">
        <x:f>IF(G56="","",IF(LEN(G56)=1,"=",LEFT(G56,LEN(G56)-1)))</x:f>
        <x:v>=</x:v>
      </x:c>
      <x:c r="K56" t="str">
        <x:f>IF(J56="","",IF(LEFT(J56,1)="=",H56,J56))</x:f>
        <x:v>N</x:v>
      </x:c>
      <x:c r="L56" t="str">
        <x:f>IF(G56="","",RIGHT(G56,1))</x:f>
        <x:v>D</x:v>
      </x:c>
      <x:c r="M56" t="n">
        <x:f>IF(L56="D",5,IF(L56="N",10,IF(L56="I",15,IF(L56="M",40,0))))</x:f>
        <x:v>5</x:v>
      </x:c>
    </x:row>
    <x:row r="57">
      <x:c r="A57" t="str">
        <x:v>lawrence|Politics</x:v>
      </x:c>
      <x:c r="B57" t="str">
        <x:v>lawrence</x:v>
      </x:c>
      <x:c r="C57" t="str">
        <x:v>Politics</x:v>
      </x:c>
      <x:c r="D57" t="str">
        <x:f>INDEX(Data!$C$2:$K$22,MATCH(B57,Data!$B$2:$B$22,0),MATCH(C57,Data!$C$1:$K$1,0))</x:f>
        <x:v>R-</x:v>
      </x:c>
      <x:c r="E57" t="str">
        <x:f>UPPER(SUBSTITUTE(TRIM(D57),"1","I"))</x:f>
        <x:v>R-</x:v>
      </x:c>
      <x:c r="F57" t="n">
        <x:f>MIN(IFERROR(FIND("^",E57),999),IFERROR(FIND("-",E57),999))</x:f>
        <x:v>2</x:v>
      </x:c>
      <x:c r="G57" t="str">
        <x:f>IF(OR(E57="",F57=999,LEN(E57)&lt;=F57),"",MID(E57,F57+1,99))</x:f>
      </x:c>
      <x:c r="H57" t="str">
        <x:f>IF(OR(E57="",F57=999),"",LEFT(E57,F57-1))</x:f>
        <x:v>R</x:v>
      </x:c>
      <x:c r="I57" t="n">
        <x:f>IF(MID(E57,F57,1)="-",0.75,IF(MID(E57,F57,1)="^",1,0))</x:f>
        <x:v>0.75</x:v>
      </x:c>
      <x:c r="J57" t="str">
        <x:f>IF(G57="","",IF(LEN(G57)=1,"=",LEFT(G57,LEN(G57)-1)))</x:f>
      </x:c>
      <x:c r="K57" t="str">
        <x:f>IF(J57="","",IF(LEFT(J57,1)="=",H57,J57))</x:f>
      </x:c>
      <x:c r="L57" t="str">
        <x:f>IF(G57="","",RIGHT(G57,1))</x:f>
      </x:c>
      <x:c r="M57" t="n">
        <x:f>IF(L57="D",5,IF(L57="N",10,IF(L57="I",15,IF(L57="M",40,0))))</x:f>
        <x:v>0</x:v>
      </x:c>
    </x:row>
    <x:row r="58">
      <x:c r="A58" t="str">
        <x:v>lawrence|Marriage</x:v>
      </x:c>
      <x:c r="B58" t="str">
        <x:v>lawrence</x:v>
      </x:c>
      <x:c r="C58" t="str">
        <x:v>Marriage</x:v>
      </x:c>
      <x:c r="D58" t="str">
        <x:f>INDEX(Data!$C$2:$K$22,MATCH(B58,Data!$B$2:$B$22,0),MATCH(C58,Data!$C$1:$K$1,0))</x:f>
        <x:v>S^=I</x:v>
      </x:c>
      <x:c r="E58" t="str">
        <x:f>UPPER(SUBSTITUTE(TRIM(D58),"1","I"))</x:f>
        <x:v>S^=I</x:v>
      </x:c>
      <x:c r="F58" t="n">
        <x:f>MIN(IFERROR(FIND("^",E58),999),IFERROR(FIND("-",E58),999))</x:f>
        <x:v>2</x:v>
      </x:c>
      <x:c r="G58" t="str">
        <x:f>IF(OR(E58="",F58=999,LEN(E58)&lt;=F58),"",MID(E58,F58+1,99))</x:f>
        <x:v>=I</x:v>
      </x:c>
      <x:c r="H58" t="str">
        <x:f>IF(OR(E58="",F58=999),"",LEFT(E58,F58-1))</x:f>
        <x:v>S</x:v>
      </x:c>
      <x:c r="I58" t="n">
        <x:f>IF(MID(E58,F58,1)="-",0.75,IF(MID(E58,F58,1)="^",1,0))</x:f>
        <x:v>1</x:v>
      </x:c>
      <x:c r="J58" t="str">
        <x:f>IF(G58="","",IF(LEN(G58)=1,"=",LEFT(G58,LEN(G58)-1)))</x:f>
        <x:v>=</x:v>
      </x:c>
      <x:c r="K58" t="str">
        <x:f>IF(J58="","",IF(LEFT(J58,1)="=",H58,J58))</x:f>
        <x:v>S</x:v>
      </x:c>
      <x:c r="L58" t="str">
        <x:f>IF(G58="","",RIGHT(G58,1))</x:f>
        <x:v>I</x:v>
      </x:c>
      <x:c r="M58" t="n">
        <x:f>IF(L58="D",5,IF(L58="N",10,IF(L58="I",15,IF(L58="M",40,0))))</x:f>
        <x:v>15</x:v>
      </x:c>
    </x:row>
    <x:row r="59">
      <x:c r="A59" t="str">
        <x:v>lawrence|Children</x:v>
      </x:c>
      <x:c r="B59" t="str">
        <x:v>lawrence</x:v>
      </x:c>
      <x:c r="C59" t="str">
        <x:v>Children</x:v>
      </x:c>
      <x:c r="D59" t="str">
        <x:f>INDEX(Data!$C$2:$K$22,MATCH(B59,Data!$B$2:$B$22,0),MATCH(C59,Data!$C$1:$K$1,0))</x:f>
        <x:v>Y-=N</x:v>
      </x:c>
      <x:c r="E59" t="str">
        <x:f>UPPER(SUBSTITUTE(TRIM(D59),"1","I"))</x:f>
        <x:v>Y-=N</x:v>
      </x:c>
      <x:c r="F59" t="n">
        <x:f>MIN(IFERROR(FIND("^",E59),999),IFERROR(FIND("-",E59),999))</x:f>
        <x:v>2</x:v>
      </x:c>
      <x:c r="G59" t="str">
        <x:f>IF(OR(E59="",F59=999,LEN(E59)&lt;=F59),"",MID(E59,F59+1,99))</x:f>
        <x:v>=N</x:v>
      </x:c>
      <x:c r="H59" t="str">
        <x:f>IF(OR(E59="",F59=999),"",LEFT(E59,F59-1))</x:f>
        <x:v>Y</x:v>
      </x:c>
      <x:c r="I59" t="n">
        <x:f>IF(MID(E59,F59,1)="-",0.75,IF(MID(E59,F59,1)="^",1,0))</x:f>
        <x:v>0.75</x:v>
      </x:c>
      <x:c r="J59" t="str">
        <x:f>IF(G59="","",IF(LEN(G59)=1,"=",LEFT(G59,LEN(G59)-1)))</x:f>
        <x:v>=</x:v>
      </x:c>
      <x:c r="K59" t="str">
        <x:f>IF(J59="","",IF(LEFT(J59,1)="=",H59,J59))</x:f>
        <x:v>Y</x:v>
      </x:c>
      <x:c r="L59" t="str">
        <x:f>IF(G59="","",RIGHT(G59,1))</x:f>
        <x:v>N</x:v>
      </x:c>
      <x:c r="M59" t="n">
        <x:f>IF(L59="D",5,IF(L59="N",10,IF(L59="I",15,IF(L59="M",40,0))))</x:f>
        <x:v>10</x:v>
      </x:c>
    </x:row>
    <x:row r="60">
      <x:c r="A60" t="str">
        <x:v>lawrence|Ethicity</x:v>
      </x:c>
      <x:c r="B60" t="str">
        <x:v>lawrence</x:v>
      </x:c>
      <x:c r="C60" t="str">
        <x:v>Ethicity</x:v>
      </x:c>
      <x:c r="D60" t="str">
        <x:f>INDEX(Data!$C$2:$K$22,MATCH(B60,Data!$B$2:$B$22,0),MATCH(C60,Data!$C$1:$K$1,0))</x:f>
        <x:v>A^=M</x:v>
      </x:c>
      <x:c r="E60" t="str">
        <x:f>UPPER(SUBSTITUTE(TRIM(D60),"1","I"))</x:f>
        <x:v>A^=M</x:v>
      </x:c>
      <x:c r="F60" t="n">
        <x:f>MIN(IFERROR(FIND("^",E60),999),IFERROR(FIND("-",E60),999))</x:f>
        <x:v>2</x:v>
      </x:c>
      <x:c r="G60" t="str">
        <x:f>IF(OR(E60="",F60=999,LEN(E60)&lt;=F60),"",MID(E60,F60+1,99))</x:f>
        <x:v>=M</x:v>
      </x:c>
      <x:c r="H60" t="str">
        <x:f>IF(OR(E60="",F60=999),"",LEFT(E60,F60-1))</x:f>
        <x:v>A</x:v>
      </x:c>
      <x:c r="I60" t="n">
        <x:f>IF(MID(E60,F60,1)="-",0.75,IF(MID(E60,F60,1)="^",1,0))</x:f>
        <x:v>1</x:v>
      </x:c>
      <x:c r="J60" t="str">
        <x:f>IF(G60="","",IF(LEN(G60)=1,"=",LEFT(G60,LEN(G60)-1)))</x:f>
        <x:v>=</x:v>
      </x:c>
      <x:c r="K60" t="str">
        <x:f>IF(J60="","",IF(LEFT(J60,1)="=",H60,J60))</x:f>
        <x:v>A</x:v>
      </x:c>
      <x:c r="L60" t="str">
        <x:f>IF(G60="","",RIGHT(G60,1))</x:f>
        <x:v>M</x:v>
      </x:c>
      <x:c r="M60" t="n">
        <x:f>IF(L60="D",5,IF(L60="N",10,IF(L60="I",15,IF(L60="M",40,0))))</x:f>
        <x:v>40</x:v>
      </x:c>
    </x:row>
    <x:row r="61">
      <x:c r="A61" t="str">
        <x:v>lawrence|Past</x:v>
      </x:c>
      <x:c r="B61" t="str">
        <x:v>lawrence</x:v>
      </x:c>
      <x:c r="C61" t="str">
        <x:v>Past</x:v>
      </x:c>
      <x:c r="D61" t="str">
        <x:f>INDEX(Data!$C$2:$K$22,MATCH(B61,Data!$B$2:$B$22,0),MATCH(C61,Data!$C$1:$K$1,0))</x:f>
        <x:v>Y-</x:v>
      </x:c>
      <x:c r="E61" t="str">
        <x:f>UPPER(SUBSTITUTE(TRIM(D61),"1","I"))</x:f>
        <x:v>Y-</x:v>
      </x:c>
      <x:c r="F61" t="n">
        <x:f>MIN(IFERROR(FIND("^",E61),999),IFERROR(FIND("-",E61),999))</x:f>
        <x:v>2</x:v>
      </x:c>
      <x:c r="G61" t="str">
        <x:f>IF(OR(E61="",F61=999,LEN(E61)&lt;=F61),"",MID(E61,F61+1,99))</x:f>
      </x:c>
      <x:c r="H61" t="str">
        <x:f>IF(OR(E61="",F61=999),"",LEFT(E61,F61-1))</x:f>
        <x:v>Y</x:v>
      </x:c>
      <x:c r="I61" t="n">
        <x:f>IF(MID(E61,F61,1)="-",0.75,IF(MID(E61,F61,1)="^",1,0))</x:f>
        <x:v>0.75</x:v>
      </x:c>
      <x:c r="J61" t="str">
        <x:f>IF(G61="","",IF(LEN(G61)=1,"=",LEFT(G61,LEN(G61)-1)))</x:f>
      </x:c>
      <x:c r="K61" t="str">
        <x:f>IF(J61="","",IF(LEFT(J61,1)="=",H61,J61))</x:f>
      </x:c>
      <x:c r="L61" t="str">
        <x:f>IF(G61="","",RIGHT(G61,1))</x:f>
      </x:c>
      <x:c r="M61" t="n">
        <x:f>IF(L61="D",5,IF(L61="N",10,IF(L61="I",15,IF(L61="M",40,0))))</x:f>
        <x:v>0</x:v>
      </x:c>
    </x:row>
    <x:row r="62">
      <x:c r="A62" t="str">
        <x:v>lawrence|D/S</x:v>
      </x:c>
      <x:c r="B62" t="str">
        <x:v>lawrence</x:v>
      </x:c>
      <x:c r="C62" t="str">
        <x:v>D/S</x:v>
      </x:c>
      <x:c r="D62" t="str">
        <x:f>INDEX(Data!$C$2:$K$22,MATCH(B62,Data!$B$2:$B$22,0),MATCH(C62,Data!$C$1:$K$1,0))</x:f>
        <x:v>S-=N</x:v>
      </x:c>
      <x:c r="E62" t="str">
        <x:f>UPPER(SUBSTITUTE(TRIM(D62),"1","I"))</x:f>
        <x:v>S-=N</x:v>
      </x:c>
      <x:c r="F62" t="n">
        <x:f>MIN(IFERROR(FIND("^",E62),999),IFERROR(FIND("-",E62),999))</x:f>
        <x:v>2</x:v>
      </x:c>
      <x:c r="G62" t="str">
        <x:f>IF(OR(E62="",F62=999,LEN(E62)&lt;=F62),"",MID(E62,F62+1,99))</x:f>
        <x:v>=N</x:v>
      </x:c>
      <x:c r="H62" t="str">
        <x:f>IF(OR(E62="",F62=999),"",LEFT(E62,F62-1))</x:f>
        <x:v>S</x:v>
      </x:c>
      <x:c r="I62" t="n">
        <x:f>IF(MID(E62,F62,1)="-",0.75,IF(MID(E62,F62,1)="^",1,0))</x:f>
        <x:v>0.75</x:v>
      </x:c>
      <x:c r="J62" t="str">
        <x:f>IF(G62="","",IF(LEN(G62)=1,"=",LEFT(G62,LEN(G62)-1)))</x:f>
        <x:v>=</x:v>
      </x:c>
      <x:c r="K62" t="str">
        <x:f>IF(J62="","",IF(LEFT(J62,1)="=",H62,J62))</x:f>
        <x:v>S</x:v>
      </x:c>
      <x:c r="L62" t="str">
        <x:f>IF(G62="","",RIGHT(G62,1))</x:f>
        <x:v>N</x:v>
      </x:c>
      <x:c r="M62" t="n">
        <x:f>IF(L62="D",5,IF(L62="N",10,IF(L62="I",15,IF(L62="M",40,0))))</x:f>
        <x:v>10</x:v>
      </x:c>
    </x:row>
    <x:row r="63">
      <x:c r="A63" t="str">
        <x:v>lawrence|True/kind</x:v>
      </x:c>
      <x:c r="B63" t="str">
        <x:v>lawrence</x:v>
      </x:c>
      <x:c r="C63" t="str">
        <x:v>True/kind</x:v>
      </x:c>
      <x:c r="D63" t="str">
        <x:f>INDEX(Data!$C$2:$K$22,MATCH(B63,Data!$B$2:$B$22,0),MATCH(C63,Data!$C$1:$K$1,0))</x:f>
        <x:v>T-KD</x:v>
      </x:c>
      <x:c r="E63" t="str">
        <x:f>UPPER(SUBSTITUTE(TRIM(D63),"1","I"))</x:f>
        <x:v>T-KD</x:v>
      </x:c>
      <x:c r="F63" t="n">
        <x:f>MIN(IFERROR(FIND("^",E63),999),IFERROR(FIND("-",E63),999))</x:f>
        <x:v>2</x:v>
      </x:c>
      <x:c r="G63" t="str">
        <x:f>IF(OR(E63="",F63=999,LEN(E63)&lt;=F63),"",MID(E63,F63+1,99))</x:f>
        <x:v>KD</x:v>
      </x:c>
      <x:c r="H63" t="str">
        <x:f>IF(OR(E63="",F63=999),"",LEFT(E63,F63-1))</x:f>
        <x:v>T</x:v>
      </x:c>
      <x:c r="I63" t="n">
        <x:f>IF(MID(E63,F63,1)="-",0.75,IF(MID(E63,F63,1)="^",1,0))</x:f>
        <x:v>0.75</x:v>
      </x:c>
      <x:c r="J63" t="str">
        <x:f>IF(G63="","",IF(LEN(G63)=1,"=",LEFT(G63,LEN(G63)-1)))</x:f>
        <x:v>K</x:v>
      </x:c>
      <x:c r="K63" t="str">
        <x:f>IF(J63="","",IF(LEFT(J63,1)="=",H63,J63))</x:f>
        <x:v>K</x:v>
      </x:c>
      <x:c r="L63" t="str">
        <x:f>IF(G63="","",RIGHT(G63,1))</x:f>
        <x:v>D</x:v>
      </x:c>
      <x:c r="M63" t="n">
        <x:f>IF(L63="D",5,IF(L63="N",10,IF(L63="I",15,IF(L63="M",40,0))))</x:f>
        <x:v>5</x:v>
      </x:c>
    </x:row>
    <x:row r="64">
      <x:c r="A64" t="str">
        <x:v>lawrence|Animal</x:v>
      </x:c>
      <x:c r="B64" t="str">
        <x:v>lawrence</x:v>
      </x:c>
      <x:c r="C64" t="str">
        <x:v>Animal</x:v>
      </x:c>
      <x:c r="D64" t="str">
        <x:f>INDEX(Data!$C$2:$K$22,MATCH(B64,Data!$B$2:$B$22,0),MATCH(C64,Data!$C$1:$K$1,0))</x:f>
        <x:v>N-</x:v>
      </x:c>
      <x:c r="E64" t="str">
        <x:f>UPPER(SUBSTITUTE(TRIM(D64),"1","I"))</x:f>
        <x:v>N-</x:v>
      </x:c>
      <x:c r="F64" t="n">
        <x:f>MIN(IFERROR(FIND("^",E64),999),IFERROR(FIND("-",E64),999))</x:f>
        <x:v>2</x:v>
      </x:c>
      <x:c r="G64" t="str">
        <x:f>IF(OR(E64="",F64=999,LEN(E64)&lt;=F64),"",MID(E64,F64+1,99))</x:f>
      </x:c>
      <x:c r="H64" t="str">
        <x:f>IF(OR(E64="",F64=999),"",LEFT(E64,F64-1))</x:f>
        <x:v>N</x:v>
      </x:c>
      <x:c r="I64" t="n">
        <x:f>IF(MID(E64,F64,1)="-",0.75,IF(MID(E64,F64,1)="^",1,0))</x:f>
        <x:v>0.75</x:v>
      </x:c>
      <x:c r="J64" t="str">
        <x:f>IF(G64="","",IF(LEN(G64)=1,"=",LEFT(G64,LEN(G64)-1)))</x:f>
      </x:c>
      <x:c r="K64" t="str">
        <x:f>IF(J64="","",IF(LEFT(J64,1)="=",H64,J64))</x:f>
      </x:c>
      <x:c r="L64" t="str">
        <x:f>IF(G64="","",RIGHT(G64,1))</x:f>
      </x:c>
      <x:c r="M64" t="n">
        <x:f>IF(L64="D",5,IF(L64="N",10,IF(L64="I",15,IF(L64="M",40,0))))</x:f>
        <x:v>0</x:v>
      </x:c>
    </x:row>
    <x:row r="65">
      <x:c r="A65" t="str">
        <x:v>richard|God</x:v>
      </x:c>
      <x:c r="B65" t="str">
        <x:v>richard</x:v>
      </x:c>
      <x:c r="C65" t="str">
        <x:v>God</x:v>
      </x:c>
      <x:c r="D65" t="str">
        <x:f>INDEX(Data!$C$2:$K$22,MATCH(B65,Data!$B$2:$B$22,0),MATCH(C65,Data!$C$1:$K$1,0))</x:f>
        <x:v>Y-</x:v>
      </x:c>
      <x:c r="E65" t="str">
        <x:f>UPPER(SUBSTITUTE(TRIM(D65),"1","I"))</x:f>
        <x:v>Y-</x:v>
      </x:c>
      <x:c r="F65" t="n">
        <x:f>MIN(IFERROR(FIND("^",E65),999),IFERROR(FIND("-",E65),999))</x:f>
        <x:v>2</x:v>
      </x:c>
      <x:c r="G65" t="str">
        <x:f>IF(OR(E65="",F65=999,LEN(E65)&lt;=F65),"",MID(E65,F65+1,99))</x:f>
      </x:c>
      <x:c r="H65" t="str">
        <x:f>IF(OR(E65="",F65=999),"",LEFT(E65,F65-1))</x:f>
        <x:v>Y</x:v>
      </x:c>
      <x:c r="I65" t="n">
        <x:f>IF(MID(E65,F65,1)="-",0.75,IF(MID(E65,F65,1)="^",1,0))</x:f>
        <x:v>0.75</x:v>
      </x:c>
      <x:c r="J65" t="str">
        <x:f>IF(G65="","",IF(LEN(G65)=1,"=",LEFT(G65,LEN(G65)-1)))</x:f>
      </x:c>
      <x:c r="K65" t="str">
        <x:f>IF(J65="","",IF(LEFT(J65,1)="=",H65,J65))</x:f>
      </x:c>
      <x:c r="L65" t="str">
        <x:f>IF(G65="","",RIGHT(G65,1))</x:f>
      </x:c>
      <x:c r="M65" t="n">
        <x:f>IF(L65="D",5,IF(L65="N",10,IF(L65="I",15,IF(L65="M",40,0))))</x:f>
        <x:v>0</x:v>
      </x:c>
    </x:row>
    <x:row r="66">
      <x:c r="A66" t="str">
        <x:v>richard|Politics</x:v>
      </x:c>
      <x:c r="B66" t="str">
        <x:v>richard</x:v>
      </x:c>
      <x:c r="C66" t="str">
        <x:v>Politics</x:v>
      </x:c>
      <x:c r="D66" t="str">
        <x:f>INDEX(Data!$C$2:$K$22,MATCH(B66,Data!$B$2:$B$22,0),MATCH(C66,Data!$C$1:$K$1,0))</x:f>
        <x:v>R-</x:v>
      </x:c>
      <x:c r="E66" t="str">
        <x:f>UPPER(SUBSTITUTE(TRIM(D66),"1","I"))</x:f>
        <x:v>R-</x:v>
      </x:c>
      <x:c r="F66" t="n">
        <x:f>MIN(IFERROR(FIND("^",E66),999),IFERROR(FIND("-",E66),999))</x:f>
        <x:v>2</x:v>
      </x:c>
      <x:c r="G66" t="str">
        <x:f>IF(OR(E66="",F66=999,LEN(E66)&lt;=F66),"",MID(E66,F66+1,99))</x:f>
      </x:c>
      <x:c r="H66" t="str">
        <x:f>IF(OR(E66="",F66=999),"",LEFT(E66,F66-1))</x:f>
        <x:v>R</x:v>
      </x:c>
      <x:c r="I66" t="n">
        <x:f>IF(MID(E66,F66,1)="-",0.75,IF(MID(E66,F66,1)="^",1,0))</x:f>
        <x:v>0.75</x:v>
      </x:c>
      <x:c r="J66" t="str">
        <x:f>IF(G66="","",IF(LEN(G66)=1,"=",LEFT(G66,LEN(G66)-1)))</x:f>
      </x:c>
      <x:c r="K66" t="str">
        <x:f>IF(J66="","",IF(LEFT(J66,1)="=",H66,J66))</x:f>
      </x:c>
      <x:c r="L66" t="str">
        <x:f>IF(G66="","",RIGHT(G66,1))</x:f>
      </x:c>
      <x:c r="M66" t="n">
        <x:f>IF(L66="D",5,IF(L66="N",10,IF(L66="I",15,IF(L66="M",40,0))))</x:f>
        <x:v>0</x:v>
      </x:c>
    </x:row>
    <x:row r="67">
      <x:c r="A67" t="str">
        <x:v>richard|Marriage</x:v>
      </x:c>
      <x:c r="B67" t="str">
        <x:v>richard</x:v>
      </x:c>
      <x:c r="C67" t="str">
        <x:v>Marriage</x:v>
      </x:c>
      <x:c r="D67" t="str">
        <x:f>INDEX(Data!$C$2:$K$22,MATCH(B67,Data!$B$2:$B$22,0),MATCH(C67,Data!$C$1:$K$1,0))</x:f>
        <x:v>S-=N</x:v>
      </x:c>
      <x:c r="E67" t="str">
        <x:f>UPPER(SUBSTITUTE(TRIM(D67),"1","I"))</x:f>
        <x:v>S-=N</x:v>
      </x:c>
      <x:c r="F67" t="n">
        <x:f>MIN(IFERROR(FIND("^",E67),999),IFERROR(FIND("-",E67),999))</x:f>
        <x:v>2</x:v>
      </x:c>
      <x:c r="G67" t="str">
        <x:f>IF(OR(E67="",F67=999,LEN(E67)&lt;=F67),"",MID(E67,F67+1,99))</x:f>
        <x:v>=N</x:v>
      </x:c>
      <x:c r="H67" t="str">
        <x:f>IF(OR(E67="",F67=999),"",LEFT(E67,F67-1))</x:f>
        <x:v>S</x:v>
      </x:c>
      <x:c r="I67" t="n">
        <x:f>IF(MID(E67,F67,1)="-",0.75,IF(MID(E67,F67,1)="^",1,0))</x:f>
        <x:v>0.75</x:v>
      </x:c>
      <x:c r="J67" t="str">
        <x:f>IF(G67="","",IF(LEN(G67)=1,"=",LEFT(G67,LEN(G67)-1)))</x:f>
        <x:v>=</x:v>
      </x:c>
      <x:c r="K67" t="str">
        <x:f>IF(J67="","",IF(LEFT(J67,1)="=",H67,J67))</x:f>
        <x:v>S</x:v>
      </x:c>
      <x:c r="L67" t="str">
        <x:f>IF(G67="","",RIGHT(G67,1))</x:f>
        <x:v>N</x:v>
      </x:c>
      <x:c r="M67" t="n">
        <x:f>IF(L67="D",5,IF(L67="N",10,IF(L67="I",15,IF(L67="M",40,0))))</x:f>
        <x:v>10</x:v>
      </x:c>
    </x:row>
    <x:row r="68">
      <x:c r="A68" t="str">
        <x:v>richard|Children</x:v>
      </x:c>
      <x:c r="B68" t="str">
        <x:v>richard</x:v>
      </x:c>
      <x:c r="C68" t="str">
        <x:v>Children</x:v>
      </x:c>
      <x:c r="D68" t="str">
        <x:f>INDEX(Data!$C$2:$K$22,MATCH(B68,Data!$B$2:$B$22,0),MATCH(C68,Data!$C$1:$K$1,0))</x:f>
        <x:v>Y-=I</x:v>
      </x:c>
      <x:c r="E68" t="str">
        <x:f>UPPER(SUBSTITUTE(TRIM(D68),"1","I"))</x:f>
        <x:v>Y-=I</x:v>
      </x:c>
      <x:c r="F68" t="n">
        <x:f>MIN(IFERROR(FIND("^",E68),999),IFERROR(FIND("-",E68),999))</x:f>
        <x:v>2</x:v>
      </x:c>
      <x:c r="G68" t="str">
        <x:f>IF(OR(E68="",F68=999,LEN(E68)&lt;=F68),"",MID(E68,F68+1,99))</x:f>
        <x:v>=I</x:v>
      </x:c>
      <x:c r="H68" t="str">
        <x:f>IF(OR(E68="",F68=999),"",LEFT(E68,F68-1))</x:f>
        <x:v>Y</x:v>
      </x:c>
      <x:c r="I68" t="n">
        <x:f>IF(MID(E68,F68,1)="-",0.75,IF(MID(E68,F68,1)="^",1,0))</x:f>
        <x:v>0.75</x:v>
      </x:c>
      <x:c r="J68" t="str">
        <x:f>IF(G68="","",IF(LEN(G68)=1,"=",LEFT(G68,LEN(G68)-1)))</x:f>
        <x:v>=</x:v>
      </x:c>
      <x:c r="K68" t="str">
        <x:f>IF(J68="","",IF(LEFT(J68,1)="=",H68,J68))</x:f>
        <x:v>Y</x:v>
      </x:c>
      <x:c r="L68" t="str">
        <x:f>IF(G68="","",RIGHT(G68,1))</x:f>
        <x:v>I</x:v>
      </x:c>
      <x:c r="M68" t="n">
        <x:f>IF(L68="D",5,IF(L68="N",10,IF(L68="I",15,IF(L68="M",40,0))))</x:f>
        <x:v>15</x:v>
      </x:c>
    </x:row>
    <x:row r="69">
      <x:c r="A69" t="str">
        <x:v>richard|Ethicity</x:v>
      </x:c>
      <x:c r="B69" t="str">
        <x:v>richard</x:v>
      </x:c>
      <x:c r="C69" t="str">
        <x:v>Ethicity</x:v>
      </x:c>
      <x:c r="D69" t="str">
        <x:f>INDEX(Data!$C$2:$K$22,MATCH(B69,Data!$B$2:$B$22,0),MATCH(C69,Data!$C$1:$K$1,0))</x:f>
        <x:v>A^=D</x:v>
      </x:c>
      <x:c r="E69" t="str">
        <x:f>UPPER(SUBSTITUTE(TRIM(D69),"1","I"))</x:f>
        <x:v>A^=D</x:v>
      </x:c>
      <x:c r="F69" t="n">
        <x:f>MIN(IFERROR(FIND("^",E69),999),IFERROR(FIND("-",E69),999))</x:f>
        <x:v>2</x:v>
      </x:c>
      <x:c r="G69" t="str">
        <x:f>IF(OR(E69="",F69=999,LEN(E69)&lt;=F69),"",MID(E69,F69+1,99))</x:f>
        <x:v>=D</x:v>
      </x:c>
      <x:c r="H69" t="str">
        <x:f>IF(OR(E69="",F69=999),"",LEFT(E69,F69-1))</x:f>
        <x:v>A</x:v>
      </x:c>
      <x:c r="I69" t="n">
        <x:f>IF(MID(E69,F69,1)="-",0.75,IF(MID(E69,F69,1)="^",1,0))</x:f>
        <x:v>1</x:v>
      </x:c>
      <x:c r="J69" t="str">
        <x:f>IF(G69="","",IF(LEN(G69)=1,"=",LEFT(G69,LEN(G69)-1)))</x:f>
        <x:v>=</x:v>
      </x:c>
      <x:c r="K69" t="str">
        <x:f>IF(J69="","",IF(LEFT(J69,1)="=",H69,J69))</x:f>
        <x:v>A</x:v>
      </x:c>
      <x:c r="L69" t="str">
        <x:f>IF(G69="","",RIGHT(G69,1))</x:f>
        <x:v>D</x:v>
      </x:c>
      <x:c r="M69" t="n">
        <x:f>IF(L69="D",5,IF(L69="N",10,IF(L69="I",15,IF(L69="M",40,0))))</x:f>
        <x:v>5</x:v>
      </x:c>
    </x:row>
    <x:row r="70">
      <x:c r="A70" t="str">
        <x:v>richard|Past</x:v>
      </x:c>
      <x:c r="B70" t="str">
        <x:v>richard</x:v>
      </x:c>
      <x:c r="C70" t="str">
        <x:v>Past</x:v>
      </x:c>
      <x:c r="D70" t="str">
        <x:f>INDEX(Data!$C$2:$K$22,MATCH(B70,Data!$B$2:$B$22,0),MATCH(C70,Data!$C$1:$K$1,0))</x:f>
        <x:v>N-=N</x:v>
      </x:c>
      <x:c r="E70" t="str">
        <x:f>UPPER(SUBSTITUTE(TRIM(D70),"1","I"))</x:f>
        <x:v>N-=N</x:v>
      </x:c>
      <x:c r="F70" t="n">
        <x:f>MIN(IFERROR(FIND("^",E70),999),IFERROR(FIND("-",E70),999))</x:f>
        <x:v>2</x:v>
      </x:c>
      <x:c r="G70" t="str">
        <x:f>IF(OR(E70="",F70=999,LEN(E70)&lt;=F70),"",MID(E70,F70+1,99))</x:f>
        <x:v>=N</x:v>
      </x:c>
      <x:c r="H70" t="str">
        <x:f>IF(OR(E70="",F70=999),"",LEFT(E70,F70-1))</x:f>
        <x:v>N</x:v>
      </x:c>
      <x:c r="I70" t="n">
        <x:f>IF(MID(E70,F70,1)="-",0.75,IF(MID(E70,F70,1)="^",1,0))</x:f>
        <x:v>0.75</x:v>
      </x:c>
      <x:c r="J70" t="str">
        <x:f>IF(G70="","",IF(LEN(G70)=1,"=",LEFT(G70,LEN(G70)-1)))</x:f>
        <x:v>=</x:v>
      </x:c>
      <x:c r="K70" t="str">
        <x:f>IF(J70="","",IF(LEFT(J70,1)="=",H70,J70))</x:f>
        <x:v>N</x:v>
      </x:c>
      <x:c r="L70" t="str">
        <x:f>IF(G70="","",RIGHT(G70,1))</x:f>
        <x:v>N</x:v>
      </x:c>
      <x:c r="M70" t="n">
        <x:f>IF(L70="D",5,IF(L70="N",10,IF(L70="I",15,IF(L70="M",40,0))))</x:f>
        <x:v>10</x:v>
      </x:c>
    </x:row>
    <x:row r="71">
      <x:c r="A71" t="str">
        <x:v>richard|D/S</x:v>
      </x:c>
      <x:c r="B71" t="str">
        <x:v>richard</x:v>
      </x:c>
      <x:c r="C71" t="str">
        <x:v>D/S</x:v>
      </x:c>
      <x:c r="D71" t="str">
        <x:f>INDEX(Data!$C$2:$K$22,MATCH(B71,Data!$B$2:$B$22,0),MATCH(C71,Data!$C$1:$K$1,0))</x:f>
        <x:v>S-=N</x:v>
      </x:c>
      <x:c r="E71" t="str">
        <x:f>UPPER(SUBSTITUTE(TRIM(D71),"1","I"))</x:f>
        <x:v>S-=N</x:v>
      </x:c>
      <x:c r="F71" t="n">
        <x:f>MIN(IFERROR(FIND("^",E71),999),IFERROR(FIND("-",E71),999))</x:f>
        <x:v>2</x:v>
      </x:c>
      <x:c r="G71" t="str">
        <x:f>IF(OR(E71="",F71=999,LEN(E71)&lt;=F71),"",MID(E71,F71+1,99))</x:f>
        <x:v>=N</x:v>
      </x:c>
      <x:c r="H71" t="str">
        <x:f>IF(OR(E71="",F71=999),"",LEFT(E71,F71-1))</x:f>
        <x:v>S</x:v>
      </x:c>
      <x:c r="I71" t="n">
        <x:f>IF(MID(E71,F71,1)="-",0.75,IF(MID(E71,F71,1)="^",1,0))</x:f>
        <x:v>0.75</x:v>
      </x:c>
      <x:c r="J71" t="str">
        <x:f>IF(G71="","",IF(LEN(G71)=1,"=",LEFT(G71,LEN(G71)-1)))</x:f>
        <x:v>=</x:v>
      </x:c>
      <x:c r="K71" t="str">
        <x:f>IF(J71="","",IF(LEFT(J71,1)="=",H71,J71))</x:f>
        <x:v>S</x:v>
      </x:c>
      <x:c r="L71" t="str">
        <x:f>IF(G71="","",RIGHT(G71,1))</x:f>
        <x:v>N</x:v>
      </x:c>
      <x:c r="M71" t="n">
        <x:f>IF(L71="D",5,IF(L71="N",10,IF(L71="I",15,IF(L71="M",40,0))))</x:f>
        <x:v>10</x:v>
      </x:c>
    </x:row>
    <x:row r="72">
      <x:c r="A72" t="str">
        <x:v>richard|True/kind</x:v>
      </x:c>
      <x:c r="B72" t="str">
        <x:v>richard</x:v>
      </x:c>
      <x:c r="C72" t="str">
        <x:v>True/kind</x:v>
      </x:c>
      <x:c r="D72" t="str">
        <x:f>INDEX(Data!$C$2:$K$22,MATCH(B72,Data!$B$2:$B$22,0),MATCH(C72,Data!$C$1:$K$1,0))</x:f>
        <x:v>T^=M</x:v>
      </x:c>
      <x:c r="E72" t="str">
        <x:f>UPPER(SUBSTITUTE(TRIM(D72),"1","I"))</x:f>
        <x:v>T^=M</x:v>
      </x:c>
      <x:c r="F72" t="n">
        <x:f>MIN(IFERROR(FIND("^",E72),999),IFERROR(FIND("-",E72),999))</x:f>
        <x:v>2</x:v>
      </x:c>
      <x:c r="G72" t="str">
        <x:f>IF(OR(E72="",F72=999,LEN(E72)&lt;=F72),"",MID(E72,F72+1,99))</x:f>
        <x:v>=M</x:v>
      </x:c>
      <x:c r="H72" t="str">
        <x:f>IF(OR(E72="",F72=999),"",LEFT(E72,F72-1))</x:f>
        <x:v>T</x:v>
      </x:c>
      <x:c r="I72" t="n">
        <x:f>IF(MID(E72,F72,1)="-",0.75,IF(MID(E72,F72,1)="^",1,0))</x:f>
        <x:v>1</x:v>
      </x:c>
      <x:c r="J72" t="str">
        <x:f>IF(G72="","",IF(LEN(G72)=1,"=",LEFT(G72,LEN(G72)-1)))</x:f>
        <x:v>=</x:v>
      </x:c>
      <x:c r="K72" t="str">
        <x:f>IF(J72="","",IF(LEFT(J72,1)="=",H72,J72))</x:f>
        <x:v>T</x:v>
      </x:c>
      <x:c r="L72" t="str">
        <x:f>IF(G72="","",RIGHT(G72,1))</x:f>
        <x:v>M</x:v>
      </x:c>
      <x:c r="M72" t="n">
        <x:f>IF(L72="D",5,IF(L72="N",10,IF(L72="I",15,IF(L72="M",40,0))))</x:f>
        <x:v>40</x:v>
      </x:c>
    </x:row>
    <x:row r="73">
      <x:c r="A73" t="str">
        <x:v>richard|Animal</x:v>
      </x:c>
      <x:c r="B73" t="str">
        <x:v>richard</x:v>
      </x:c>
      <x:c r="C73" t="str">
        <x:v>Animal</x:v>
      </x:c>
      <x:c r="D73" t="str">
        <x:f>INDEX(Data!$C$2:$K$22,MATCH(B73,Data!$B$2:$B$22,0),MATCH(C73,Data!$C$1:$K$1,0))</x:f>
        <x:v>A^=D</x:v>
      </x:c>
      <x:c r="E73" t="str">
        <x:f>UPPER(SUBSTITUTE(TRIM(D73),"1","I"))</x:f>
        <x:v>A^=D</x:v>
      </x:c>
      <x:c r="F73" t="n">
        <x:f>MIN(IFERROR(FIND("^",E73),999),IFERROR(FIND("-",E73),999))</x:f>
        <x:v>2</x:v>
      </x:c>
      <x:c r="G73" t="str">
        <x:f>IF(OR(E73="",F73=999,LEN(E73)&lt;=F73),"",MID(E73,F73+1,99))</x:f>
        <x:v>=D</x:v>
      </x:c>
      <x:c r="H73" t="str">
        <x:f>IF(OR(E73="",F73=999),"",LEFT(E73,F73-1))</x:f>
        <x:v>A</x:v>
      </x:c>
      <x:c r="I73" t="n">
        <x:f>IF(MID(E73,F73,1)="-",0.75,IF(MID(E73,F73,1)="^",1,0))</x:f>
        <x:v>1</x:v>
      </x:c>
      <x:c r="J73" t="str">
        <x:f>IF(G73="","",IF(LEN(G73)=1,"=",LEFT(G73,LEN(G73)-1)))</x:f>
        <x:v>=</x:v>
      </x:c>
      <x:c r="K73" t="str">
        <x:f>IF(J73="","",IF(LEFT(J73,1)="=",H73,J73))</x:f>
        <x:v>A</x:v>
      </x:c>
      <x:c r="L73" t="str">
        <x:f>IF(G73="","",RIGHT(G73,1))</x:f>
        <x:v>D</x:v>
      </x:c>
      <x:c r="M73" t="n">
        <x:f>IF(L73="D",5,IF(L73="N",10,IF(L73="I",15,IF(L73="M",40,0))))</x:f>
        <x:v>5</x:v>
      </x:c>
    </x:row>
    <x:row r="74">
      <x:c r="A74" t="str">
        <x:v>tony|God</x:v>
      </x:c>
      <x:c r="B74" t="str">
        <x:v>tony</x:v>
      </x:c>
      <x:c r="C74" t="str">
        <x:v>God</x:v>
      </x:c>
      <x:c r="D74" t="str">
        <x:f>INDEX(Data!$C$2:$K$22,MATCH(B74,Data!$B$2:$B$22,0),MATCH(C74,Data!$C$1:$K$1,0))</x:f>
        <x:v>Y^=N</x:v>
      </x:c>
      <x:c r="E74" t="str">
        <x:f>UPPER(SUBSTITUTE(TRIM(D74),"1","I"))</x:f>
        <x:v>Y^=N</x:v>
      </x:c>
      <x:c r="F74" t="n">
        <x:f>MIN(IFERROR(FIND("^",E74),999),IFERROR(FIND("-",E74),999))</x:f>
        <x:v>2</x:v>
      </x:c>
      <x:c r="G74" t="str">
        <x:f>IF(OR(E74="",F74=999,LEN(E74)&lt;=F74),"",MID(E74,F74+1,99))</x:f>
        <x:v>=N</x:v>
      </x:c>
      <x:c r="H74" t="str">
        <x:f>IF(OR(E74="",F74=999),"",LEFT(E74,F74-1))</x:f>
        <x:v>Y</x:v>
      </x:c>
      <x:c r="I74" t="n">
        <x:f>IF(MID(E74,F74,1)="-",0.75,IF(MID(E74,F74,1)="^",1,0))</x:f>
        <x:v>1</x:v>
      </x:c>
      <x:c r="J74" t="str">
        <x:f>IF(G74="","",IF(LEN(G74)=1,"=",LEFT(G74,LEN(G74)-1)))</x:f>
        <x:v>=</x:v>
      </x:c>
      <x:c r="K74" t="str">
        <x:f>IF(J74="","",IF(LEFT(J74,1)="=",H74,J74))</x:f>
        <x:v>Y</x:v>
      </x:c>
      <x:c r="L74" t="str">
        <x:f>IF(G74="","",RIGHT(G74,1))</x:f>
        <x:v>N</x:v>
      </x:c>
      <x:c r="M74" t="n">
        <x:f>IF(L74="D",5,IF(L74="N",10,IF(L74="I",15,IF(L74="M",40,0))))</x:f>
        <x:v>10</x:v>
      </x:c>
    </x:row>
    <x:row r="75">
      <x:c r="A75" t="str">
        <x:v>tony|Politics</x:v>
      </x:c>
      <x:c r="B75" t="str">
        <x:v>tony</x:v>
      </x:c>
      <x:c r="C75" t="str">
        <x:v>Politics</x:v>
      </x:c>
      <x:c r="D75" t="str">
        <x:f>INDEX(Data!$C$2:$K$22,MATCH(B75,Data!$B$2:$B$22,0),MATCH(C75,Data!$C$1:$K$1,0))</x:f>
        <x:v>L^=D</x:v>
      </x:c>
      <x:c r="E75" t="str">
        <x:f>UPPER(SUBSTITUTE(TRIM(D75),"1","I"))</x:f>
        <x:v>L^=D</x:v>
      </x:c>
      <x:c r="F75" t="n">
        <x:f>MIN(IFERROR(FIND("^",E75),999),IFERROR(FIND("-",E75),999))</x:f>
        <x:v>2</x:v>
      </x:c>
      <x:c r="G75" t="str">
        <x:f>IF(OR(E75="",F75=999,LEN(E75)&lt;=F75),"",MID(E75,F75+1,99))</x:f>
        <x:v>=D</x:v>
      </x:c>
      <x:c r="H75" t="str">
        <x:f>IF(OR(E75="",F75=999),"",LEFT(E75,F75-1))</x:f>
        <x:v>L</x:v>
      </x:c>
      <x:c r="I75" t="n">
        <x:f>IF(MID(E75,F75,1)="-",0.75,IF(MID(E75,F75,1)="^",1,0))</x:f>
        <x:v>1</x:v>
      </x:c>
      <x:c r="J75" t="str">
        <x:f>IF(G75="","",IF(LEN(G75)=1,"=",LEFT(G75,LEN(G75)-1)))</x:f>
        <x:v>=</x:v>
      </x:c>
      <x:c r="K75" t="str">
        <x:f>IF(J75="","",IF(LEFT(J75,1)="=",H75,J75))</x:f>
        <x:v>L</x:v>
      </x:c>
      <x:c r="L75" t="str">
        <x:f>IF(G75="","",RIGHT(G75,1))</x:f>
        <x:v>D</x:v>
      </x:c>
      <x:c r="M75" t="n">
        <x:f>IF(L75="D",5,IF(L75="N",10,IF(L75="I",15,IF(L75="M",40,0))))</x:f>
        <x:v>5</x:v>
      </x:c>
    </x:row>
    <x:row r="76">
      <x:c r="A76" t="str">
        <x:v>tony|Marriage</x:v>
      </x:c>
      <x:c r="B76" t="str">
        <x:v>tony</x:v>
      </x:c>
      <x:c r="C76" t="str">
        <x:v>Marriage</x:v>
      </x:c>
      <x:c r="D76" t="str">
        <x:f>INDEX(Data!$C$2:$K$22,MATCH(B76,Data!$B$2:$B$22,0),MATCH(C76,Data!$C$1:$K$1,0))</x:f>
        <x:v>L-=I</x:v>
      </x:c>
      <x:c r="E76" t="str">
        <x:f>UPPER(SUBSTITUTE(TRIM(D76),"1","I"))</x:f>
        <x:v>L-=I</x:v>
      </x:c>
      <x:c r="F76" t="n">
        <x:f>MIN(IFERROR(FIND("^",E76),999),IFERROR(FIND("-",E76),999))</x:f>
        <x:v>2</x:v>
      </x:c>
      <x:c r="G76" t="str">
        <x:f>IF(OR(E76="",F76=999,LEN(E76)&lt;=F76),"",MID(E76,F76+1,99))</x:f>
        <x:v>=I</x:v>
      </x:c>
      <x:c r="H76" t="str">
        <x:f>IF(OR(E76="",F76=999),"",LEFT(E76,F76-1))</x:f>
        <x:v>L</x:v>
      </x:c>
      <x:c r="I76" t="n">
        <x:f>IF(MID(E76,F76,1)="-",0.75,IF(MID(E76,F76,1)="^",1,0))</x:f>
        <x:v>0.75</x:v>
      </x:c>
      <x:c r="J76" t="str">
        <x:f>IF(G76="","",IF(LEN(G76)=1,"=",LEFT(G76,LEN(G76)-1)))</x:f>
        <x:v>=</x:v>
      </x:c>
      <x:c r="K76" t="str">
        <x:f>IF(J76="","",IF(LEFT(J76,1)="=",H76,J76))</x:f>
        <x:v>L</x:v>
      </x:c>
      <x:c r="L76" t="str">
        <x:f>IF(G76="","",RIGHT(G76,1))</x:f>
        <x:v>I</x:v>
      </x:c>
      <x:c r="M76" t="n">
        <x:f>IF(L76="D",5,IF(L76="N",10,IF(L76="I",15,IF(L76="M",40,0))))</x:f>
        <x:v>15</x:v>
      </x:c>
    </x:row>
    <x:row r="77">
      <x:c r="A77" t="str">
        <x:v>tony|Children</x:v>
      </x:c>
      <x:c r="B77" t="str">
        <x:v>tony</x:v>
      </x:c>
      <x:c r="C77" t="str">
        <x:v>Children</x:v>
      </x:c>
      <x:c r="D77" t="str">
        <x:f>INDEX(Data!$C$2:$K$22,MATCH(B77,Data!$B$2:$B$22,0),MATCH(C77,Data!$C$1:$K$1,0))</x:f>
        <x:v>Y^=I</x:v>
      </x:c>
      <x:c r="E77" t="str">
        <x:f>UPPER(SUBSTITUTE(TRIM(D77),"1","I"))</x:f>
        <x:v>Y^=I</x:v>
      </x:c>
      <x:c r="F77" t="n">
        <x:f>MIN(IFERROR(FIND("^",E77),999),IFERROR(FIND("-",E77),999))</x:f>
        <x:v>2</x:v>
      </x:c>
      <x:c r="G77" t="str">
        <x:f>IF(OR(E77="",F77=999,LEN(E77)&lt;=F77),"",MID(E77,F77+1,99))</x:f>
        <x:v>=I</x:v>
      </x:c>
      <x:c r="H77" t="str">
        <x:f>IF(OR(E77="",F77=999),"",LEFT(E77,F77-1))</x:f>
        <x:v>Y</x:v>
      </x:c>
      <x:c r="I77" t="n">
        <x:f>IF(MID(E77,F77,1)="-",0.75,IF(MID(E77,F77,1)="^",1,0))</x:f>
        <x:v>1</x:v>
      </x:c>
      <x:c r="J77" t="str">
        <x:f>IF(G77="","",IF(LEN(G77)=1,"=",LEFT(G77,LEN(G77)-1)))</x:f>
        <x:v>=</x:v>
      </x:c>
      <x:c r="K77" t="str">
        <x:f>IF(J77="","",IF(LEFT(J77,1)="=",H77,J77))</x:f>
        <x:v>Y</x:v>
      </x:c>
      <x:c r="L77" t="str">
        <x:f>IF(G77="","",RIGHT(G77,1))</x:f>
        <x:v>I</x:v>
      </x:c>
      <x:c r="M77" t="n">
        <x:f>IF(L77="D",5,IF(L77="N",10,IF(L77="I",15,IF(L77="M",40,0))))</x:f>
        <x:v>15</x:v>
      </x:c>
    </x:row>
    <x:row r="78">
      <x:c r="A78" t="str">
        <x:v>tony|Ethicity</x:v>
      </x:c>
      <x:c r="B78" t="str">
        <x:v>tony</x:v>
      </x:c>
      <x:c r="C78" t="str">
        <x:v>Ethicity</x:v>
      </x:c>
      <x:c r="D78" t="str">
        <x:f>INDEX(Data!$C$2:$K$22,MATCH(B78,Data!$B$2:$B$22,0),MATCH(C78,Data!$C$1:$K$1,0))</x:f>
        <x:v>A^=M</x:v>
      </x:c>
      <x:c r="E78" t="str">
        <x:f>UPPER(SUBSTITUTE(TRIM(D78),"1","I"))</x:f>
        <x:v>A^=M</x:v>
      </x:c>
      <x:c r="F78" t="n">
        <x:f>MIN(IFERROR(FIND("^",E78),999),IFERROR(FIND("-",E78),999))</x:f>
        <x:v>2</x:v>
      </x:c>
      <x:c r="G78" t="str">
        <x:f>IF(OR(E78="",F78=999,LEN(E78)&lt;=F78),"",MID(E78,F78+1,99))</x:f>
        <x:v>=M</x:v>
      </x:c>
      <x:c r="H78" t="str">
        <x:f>IF(OR(E78="",F78=999),"",LEFT(E78,F78-1))</x:f>
        <x:v>A</x:v>
      </x:c>
      <x:c r="I78" t="n">
        <x:f>IF(MID(E78,F78,1)="-",0.75,IF(MID(E78,F78,1)="^",1,0))</x:f>
        <x:v>1</x:v>
      </x:c>
      <x:c r="J78" t="str">
        <x:f>IF(G78="","",IF(LEN(G78)=1,"=",LEFT(G78,LEN(G78)-1)))</x:f>
        <x:v>=</x:v>
      </x:c>
      <x:c r="K78" t="str">
        <x:f>IF(J78="","",IF(LEFT(J78,1)="=",H78,J78))</x:f>
        <x:v>A</x:v>
      </x:c>
      <x:c r="L78" t="str">
        <x:f>IF(G78="","",RIGHT(G78,1))</x:f>
        <x:v>M</x:v>
      </x:c>
      <x:c r="M78" t="n">
        <x:f>IF(L78="D",5,IF(L78="N",10,IF(L78="I",15,IF(L78="M",40,0))))</x:f>
        <x:v>40</x:v>
      </x:c>
    </x:row>
    <x:row r="79">
      <x:c r="A79" t="str">
        <x:v>tony|Past</x:v>
      </x:c>
      <x:c r="B79" t="str">
        <x:v>tony</x:v>
      </x:c>
      <x:c r="C79" t="str">
        <x:v>Past</x:v>
      </x:c>
      <x:c r="D79" t="str">
        <x:f>INDEX(Data!$C$2:$K$22,MATCH(B79,Data!$B$2:$B$22,0),MATCH(C79,Data!$C$1:$K$1,0))</x:f>
        <x:v>Y-</x:v>
      </x:c>
      <x:c r="E79" t="str">
        <x:f>UPPER(SUBSTITUTE(TRIM(D79),"1","I"))</x:f>
        <x:v>Y-</x:v>
      </x:c>
      <x:c r="F79" t="n">
        <x:f>MIN(IFERROR(FIND("^",E79),999),IFERROR(FIND("-",E79),999))</x:f>
        <x:v>2</x:v>
      </x:c>
      <x:c r="G79" t="str">
        <x:f>IF(OR(E79="",F79=999,LEN(E79)&lt;=F79),"",MID(E79,F79+1,99))</x:f>
      </x:c>
      <x:c r="H79" t="str">
        <x:f>IF(OR(E79="",F79=999),"",LEFT(E79,F79-1))</x:f>
        <x:v>Y</x:v>
      </x:c>
      <x:c r="I79" t="n">
        <x:f>IF(MID(E79,F79,1)="-",0.75,IF(MID(E79,F79,1)="^",1,0))</x:f>
        <x:v>0.75</x:v>
      </x:c>
      <x:c r="J79" t="str">
        <x:f>IF(G79="","",IF(LEN(G79)=1,"=",LEFT(G79,LEN(G79)-1)))</x:f>
      </x:c>
      <x:c r="K79" t="str">
        <x:f>IF(J79="","",IF(LEFT(J79,1)="=",H79,J79))</x:f>
      </x:c>
      <x:c r="L79" t="str">
        <x:f>IF(G79="","",RIGHT(G79,1))</x:f>
      </x:c>
      <x:c r="M79" t="n">
        <x:f>IF(L79="D",5,IF(L79="N",10,IF(L79="I",15,IF(L79="M",40,0))))</x:f>
        <x:v>0</x:v>
      </x:c>
    </x:row>
    <x:row r="80">
      <x:c r="A80" t="str">
        <x:v>tony|D/S</x:v>
      </x:c>
      <x:c r="B80" t="str">
        <x:v>tony</x:v>
      </x:c>
      <x:c r="C80" t="str">
        <x:v>D/S</x:v>
      </x:c>
      <x:c r="D80" t="str">
        <x:f>INDEX(Data!$C$2:$K$22,MATCH(B80,Data!$B$2:$B$22,0),MATCH(C80,Data!$C$1:$K$1,0))</x:f>
        <x:v>D^SD</x:v>
      </x:c>
      <x:c r="E80" t="str">
        <x:f>UPPER(SUBSTITUTE(TRIM(D80),"1","I"))</x:f>
        <x:v>D^SD</x:v>
      </x:c>
      <x:c r="F80" t="n">
        <x:f>MIN(IFERROR(FIND("^",E80),999),IFERROR(FIND("-",E80),999))</x:f>
        <x:v>2</x:v>
      </x:c>
      <x:c r="G80" t="str">
        <x:f>IF(OR(E80="",F80=999,LEN(E80)&lt;=F80),"",MID(E80,F80+1,99))</x:f>
        <x:v>SD</x:v>
      </x:c>
      <x:c r="H80" t="str">
        <x:f>IF(OR(E80="",F80=999),"",LEFT(E80,F80-1))</x:f>
        <x:v>D</x:v>
      </x:c>
      <x:c r="I80" t="n">
        <x:f>IF(MID(E80,F80,1)="-",0.75,IF(MID(E80,F80,1)="^",1,0))</x:f>
        <x:v>1</x:v>
      </x:c>
      <x:c r="J80" t="str">
        <x:f>IF(G80="","",IF(LEN(G80)=1,"=",LEFT(G80,LEN(G80)-1)))</x:f>
        <x:v>S</x:v>
      </x:c>
      <x:c r="K80" t="str">
        <x:f>IF(J80="","",IF(LEFT(J80,1)="=",H80,J80))</x:f>
        <x:v>S</x:v>
      </x:c>
      <x:c r="L80" t="str">
        <x:f>IF(G80="","",RIGHT(G80,1))</x:f>
        <x:v>D</x:v>
      </x:c>
      <x:c r="M80" t="n">
        <x:f>IF(L80="D",5,IF(L80="N",10,IF(L80="I",15,IF(L80="M",40,0))))</x:f>
        <x:v>5</x:v>
      </x:c>
    </x:row>
    <x:row r="81">
      <x:c r="A81" t="str">
        <x:v>tony|True/kind</x:v>
      </x:c>
      <x:c r="B81" t="str">
        <x:v>tony</x:v>
      </x:c>
      <x:c r="C81" t="str">
        <x:v>True/kind</x:v>
      </x:c>
      <x:c r="D81" t="str">
        <x:f>INDEX(Data!$C$2:$K$22,MATCH(B81,Data!$B$2:$B$22,0),MATCH(C81,Data!$C$1:$K$1,0))</x:f>
        <x:v>T^</x:v>
      </x:c>
      <x:c r="E81" t="str">
        <x:f>UPPER(SUBSTITUTE(TRIM(D81),"1","I"))</x:f>
        <x:v>T^</x:v>
      </x:c>
      <x:c r="F81" t="n">
        <x:f>MIN(IFERROR(FIND("^",E81),999),IFERROR(FIND("-",E81),999))</x:f>
        <x:v>2</x:v>
      </x:c>
      <x:c r="G81" t="str">
        <x:f>IF(OR(E81="",F81=999,LEN(E81)&lt;=F81),"",MID(E81,F81+1,99))</x:f>
      </x:c>
      <x:c r="H81" t="str">
        <x:f>IF(OR(E81="",F81=999),"",LEFT(E81,F81-1))</x:f>
        <x:v>T</x:v>
      </x:c>
      <x:c r="I81" t="n">
        <x:f>IF(MID(E81,F81,1)="-",0.75,IF(MID(E81,F81,1)="^",1,0))</x:f>
        <x:v>1</x:v>
      </x:c>
      <x:c r="J81" t="str">
        <x:f>IF(G81="","",IF(LEN(G81)=1,"=",LEFT(G81,LEN(G81)-1)))</x:f>
      </x:c>
      <x:c r="K81" t="str">
        <x:f>IF(J81="","",IF(LEFT(J81,1)="=",H81,J81))</x:f>
      </x:c>
      <x:c r="L81" t="str">
        <x:f>IF(G81="","",RIGHT(G81,1))</x:f>
      </x:c>
      <x:c r="M81" t="n">
        <x:f>IF(L81="D",5,IF(L81="N",10,IF(L81="I",15,IF(L81="M",40,0))))</x:f>
        <x:v>0</x:v>
      </x:c>
    </x:row>
    <x:row r="82">
      <x:c r="A82" t="str">
        <x:v>tony|Animal</x:v>
      </x:c>
      <x:c r="B82" t="str">
        <x:v>tony</x:v>
      </x:c>
      <x:c r="C82" t="str">
        <x:v>Animal</x:v>
      </x:c>
      <x:c r="D82" t="str">
        <x:f>INDEX(Data!$C$2:$K$22,MATCH(B82,Data!$B$2:$B$22,0),MATCH(C82,Data!$C$1:$K$1,0))</x:f>
        <x:v>A^=N</x:v>
      </x:c>
      <x:c r="E82" t="str">
        <x:f>UPPER(SUBSTITUTE(TRIM(D82),"1","I"))</x:f>
        <x:v>A^=N</x:v>
      </x:c>
      <x:c r="F82" t="n">
        <x:f>MIN(IFERROR(FIND("^",E82),999),IFERROR(FIND("-",E82),999))</x:f>
        <x:v>2</x:v>
      </x:c>
      <x:c r="G82" t="str">
        <x:f>IF(OR(E82="",F82=999,LEN(E82)&lt;=F82),"",MID(E82,F82+1,99))</x:f>
        <x:v>=N</x:v>
      </x:c>
      <x:c r="H82" t="str">
        <x:f>IF(OR(E82="",F82=999),"",LEFT(E82,F82-1))</x:f>
        <x:v>A</x:v>
      </x:c>
      <x:c r="I82" t="n">
        <x:f>IF(MID(E82,F82,1)="-",0.75,IF(MID(E82,F82,1)="^",1,0))</x:f>
        <x:v>1</x:v>
      </x:c>
      <x:c r="J82" t="str">
        <x:f>IF(G82="","",IF(LEN(G82)=1,"=",LEFT(G82,LEN(G82)-1)))</x:f>
        <x:v>=</x:v>
      </x:c>
      <x:c r="K82" t="str">
        <x:f>IF(J82="","",IF(LEFT(J82,1)="=",H82,J82))</x:f>
        <x:v>A</x:v>
      </x:c>
      <x:c r="L82" t="str">
        <x:f>IF(G82="","",RIGHT(G82,1))</x:f>
        <x:v>N</x:v>
      </x:c>
      <x:c r="M82" t="n">
        <x:f>IF(L82="D",5,IF(L82="N",10,IF(L82="I",15,IF(L82="M",40,0))))</x:f>
        <x:v>10</x:v>
      </x:c>
    </x:row>
    <x:row r="83">
      <x:c r="A83" t="str">
        <x:v>will|God</x:v>
      </x:c>
      <x:c r="B83" t="str">
        <x:v>will</x:v>
      </x:c>
      <x:c r="C83" t="str">
        <x:v>God</x:v>
      </x:c>
      <x:c r="D83" t="str">
        <x:f>INDEX(Data!$C$2:$K$22,MATCH(B83,Data!$B$2:$B$22,0),MATCH(C83,Data!$C$1:$K$1,0))</x:f>
        <x:v>N^=D</x:v>
      </x:c>
      <x:c r="E83" t="str">
        <x:f>UPPER(SUBSTITUTE(TRIM(D83),"1","I"))</x:f>
        <x:v>N^=D</x:v>
      </x:c>
      <x:c r="F83" t="n">
        <x:f>MIN(IFERROR(FIND("^",E83),999),IFERROR(FIND("-",E83),999))</x:f>
        <x:v>2</x:v>
      </x:c>
      <x:c r="G83" t="str">
        <x:f>IF(OR(E83="",F83=999,LEN(E83)&lt;=F83),"",MID(E83,F83+1,99))</x:f>
        <x:v>=D</x:v>
      </x:c>
      <x:c r="H83" t="str">
        <x:f>IF(OR(E83="",F83=999),"",LEFT(E83,F83-1))</x:f>
        <x:v>N</x:v>
      </x:c>
      <x:c r="I83" t="n">
        <x:f>IF(MID(E83,F83,1)="-",0.75,IF(MID(E83,F83,1)="^",1,0))</x:f>
        <x:v>1</x:v>
      </x:c>
      <x:c r="J83" t="str">
        <x:f>IF(G83="","",IF(LEN(G83)=1,"=",LEFT(G83,LEN(G83)-1)))</x:f>
        <x:v>=</x:v>
      </x:c>
      <x:c r="K83" t="str">
        <x:f>IF(J83="","",IF(LEFT(J83,1)="=",H83,J83))</x:f>
        <x:v>N</x:v>
      </x:c>
      <x:c r="L83" t="str">
        <x:f>IF(G83="","",RIGHT(G83,1))</x:f>
        <x:v>D</x:v>
      </x:c>
      <x:c r="M83" t="n">
        <x:f>IF(L83="D",5,IF(L83="N",10,IF(L83="I",15,IF(L83="M",40,0))))</x:f>
        <x:v>5</x:v>
      </x:c>
    </x:row>
    <x:row r="84">
      <x:c r="A84" t="str">
        <x:v>will|Politics</x:v>
      </x:c>
      <x:c r="B84" t="str">
        <x:v>will</x:v>
      </x:c>
      <x:c r="C84" t="str">
        <x:v>Politics</x:v>
      </x:c>
      <x:c r="D84" t="str">
        <x:f>INDEX(Data!$C$2:$K$22,MATCH(B84,Data!$B$2:$B$22,0),MATCH(C84,Data!$C$1:$K$1,0))</x:f>
        <x:v>L-</x:v>
      </x:c>
      <x:c r="E84" t="str">
        <x:f>UPPER(SUBSTITUTE(TRIM(D84),"1","I"))</x:f>
        <x:v>L-</x:v>
      </x:c>
      <x:c r="F84" t="n">
        <x:f>MIN(IFERROR(FIND("^",E84),999),IFERROR(FIND("-",E84),999))</x:f>
        <x:v>2</x:v>
      </x:c>
      <x:c r="G84" t="str">
        <x:f>IF(OR(E84="",F84=999,LEN(E84)&lt;=F84),"",MID(E84,F84+1,99))</x:f>
      </x:c>
      <x:c r="H84" t="str">
        <x:f>IF(OR(E84="",F84=999),"",LEFT(E84,F84-1))</x:f>
        <x:v>L</x:v>
      </x:c>
      <x:c r="I84" t="n">
        <x:f>IF(MID(E84,F84,1)="-",0.75,IF(MID(E84,F84,1)="^",1,0))</x:f>
        <x:v>0.75</x:v>
      </x:c>
      <x:c r="J84" t="str">
        <x:f>IF(G84="","",IF(LEN(G84)=1,"=",LEFT(G84,LEN(G84)-1)))</x:f>
      </x:c>
      <x:c r="K84" t="str">
        <x:f>IF(J84="","",IF(LEFT(J84,1)="=",H84,J84))</x:f>
      </x:c>
      <x:c r="L84" t="str">
        <x:f>IF(G84="","",RIGHT(G84,1))</x:f>
      </x:c>
      <x:c r="M84" t="n">
        <x:f>IF(L84="D",5,IF(L84="N",10,IF(L84="I",15,IF(L84="M",40,0))))</x:f>
        <x:v>0</x:v>
      </x:c>
    </x:row>
    <x:row r="85">
      <x:c r="A85" t="str">
        <x:v>will|Marriage</x:v>
      </x:c>
      <x:c r="B85" t="str">
        <x:v>will</x:v>
      </x:c>
      <x:c r="C85" t="str">
        <x:v>Marriage</x:v>
      </x:c>
      <x:c r="D85" t="str">
        <x:f>INDEX(Data!$C$2:$K$22,MATCH(B85,Data!$B$2:$B$22,0),MATCH(C85,Data!$C$1:$K$1,0))</x:f>
        <x:v>S-=I</x:v>
      </x:c>
      <x:c r="E85" t="str">
        <x:f>UPPER(SUBSTITUTE(TRIM(D85),"1","I"))</x:f>
        <x:v>S-=I</x:v>
      </x:c>
      <x:c r="F85" t="n">
        <x:f>MIN(IFERROR(FIND("^",E85),999),IFERROR(FIND("-",E85),999))</x:f>
        <x:v>2</x:v>
      </x:c>
      <x:c r="G85" t="str">
        <x:f>IF(OR(E85="",F85=999,LEN(E85)&lt;=F85),"",MID(E85,F85+1,99))</x:f>
        <x:v>=I</x:v>
      </x:c>
      <x:c r="H85" t="str">
        <x:f>IF(OR(E85="",F85=999),"",LEFT(E85,F85-1))</x:f>
        <x:v>S</x:v>
      </x:c>
      <x:c r="I85" t="n">
        <x:f>IF(MID(E85,F85,1)="-",0.75,IF(MID(E85,F85,1)="^",1,0))</x:f>
        <x:v>0.75</x:v>
      </x:c>
      <x:c r="J85" t="str">
        <x:f>IF(G85="","",IF(LEN(G85)=1,"=",LEFT(G85,LEN(G85)-1)))</x:f>
        <x:v>=</x:v>
      </x:c>
      <x:c r="K85" t="str">
        <x:f>IF(J85="","",IF(LEFT(J85,1)="=",H85,J85))</x:f>
        <x:v>S</x:v>
      </x:c>
      <x:c r="L85" t="str">
        <x:f>IF(G85="","",RIGHT(G85,1))</x:f>
        <x:v>I</x:v>
      </x:c>
      <x:c r="M85" t="n">
        <x:f>IF(L85="D",5,IF(L85="N",10,IF(L85="I",15,IF(L85="M",40,0))))</x:f>
        <x:v>15</x:v>
      </x:c>
    </x:row>
    <x:row r="86">
      <x:c r="A86" t="str">
        <x:v>will|Children</x:v>
      </x:c>
      <x:c r="B86" t="str">
        <x:v>will</x:v>
      </x:c>
      <x:c r="C86" t="str">
        <x:v>Children</x:v>
      </x:c>
      <x:c r="D86" t="str">
        <x:f>INDEX(Data!$C$2:$K$22,MATCH(B86,Data!$B$2:$B$22,0),MATCH(C86,Data!$C$1:$K$1,0))</x:f>
        <x:v>N-=D</x:v>
      </x:c>
      <x:c r="E86" t="str">
        <x:f>UPPER(SUBSTITUTE(TRIM(D86),"1","I"))</x:f>
        <x:v>N-=D</x:v>
      </x:c>
      <x:c r="F86" t="n">
        <x:f>MIN(IFERROR(FIND("^",E86),999),IFERROR(FIND("-",E86),999))</x:f>
        <x:v>2</x:v>
      </x:c>
      <x:c r="G86" t="str">
        <x:f>IF(OR(E86="",F86=999,LEN(E86)&lt;=F86),"",MID(E86,F86+1,99))</x:f>
        <x:v>=D</x:v>
      </x:c>
      <x:c r="H86" t="str">
        <x:f>IF(OR(E86="",F86=999),"",LEFT(E86,F86-1))</x:f>
        <x:v>N</x:v>
      </x:c>
      <x:c r="I86" t="n">
        <x:f>IF(MID(E86,F86,1)="-",0.75,IF(MID(E86,F86,1)="^",1,0))</x:f>
        <x:v>0.75</x:v>
      </x:c>
      <x:c r="J86" t="str">
        <x:f>IF(G86="","",IF(LEN(G86)=1,"=",LEFT(G86,LEN(G86)-1)))</x:f>
        <x:v>=</x:v>
      </x:c>
      <x:c r="K86" t="str">
        <x:f>IF(J86="","",IF(LEFT(J86,1)="=",H86,J86))</x:f>
        <x:v>N</x:v>
      </x:c>
      <x:c r="L86" t="str">
        <x:f>IF(G86="","",RIGHT(G86,1))</x:f>
        <x:v>D</x:v>
      </x:c>
      <x:c r="M86" t="n">
        <x:f>IF(L86="D",5,IF(L86="N",10,IF(L86="I",15,IF(L86="M",40,0))))</x:f>
        <x:v>5</x:v>
      </x:c>
    </x:row>
    <x:row r="87">
      <x:c r="A87" t="str">
        <x:v>will|Ethicity</x:v>
      </x:c>
      <x:c r="B87" t="str">
        <x:v>will</x:v>
      </x:c>
      <x:c r="C87" t="str">
        <x:v>Ethicity</x:v>
      </x:c>
      <x:c r="D87" t="str">
        <x:f>INDEX(Data!$C$2:$K$22,MATCH(B87,Data!$B$2:$B$22,0),MATCH(C87,Data!$C$1:$K$1,0))</x:f>
        <x:v>W^AI</x:v>
      </x:c>
      <x:c r="E87" t="str">
        <x:f>UPPER(SUBSTITUTE(TRIM(D87),"1","I"))</x:f>
        <x:v>W^AI</x:v>
      </x:c>
      <x:c r="F87" t="n">
        <x:f>MIN(IFERROR(FIND("^",E87),999),IFERROR(FIND("-",E87),999))</x:f>
        <x:v>2</x:v>
      </x:c>
      <x:c r="G87" t="str">
        <x:f>IF(OR(E87="",F87=999,LEN(E87)&lt;=F87),"",MID(E87,F87+1,99))</x:f>
        <x:v>AI</x:v>
      </x:c>
      <x:c r="H87" t="str">
        <x:f>IF(OR(E87="",F87=999),"",LEFT(E87,F87-1))</x:f>
        <x:v>W</x:v>
      </x:c>
      <x:c r="I87" t="n">
        <x:f>IF(MID(E87,F87,1)="-",0.75,IF(MID(E87,F87,1)="^",1,0))</x:f>
        <x:v>1</x:v>
      </x:c>
      <x:c r="J87" t="str">
        <x:f>IF(G87="","",IF(LEN(G87)=1,"=",LEFT(G87,LEN(G87)-1)))</x:f>
        <x:v>A</x:v>
      </x:c>
      <x:c r="K87" t="str">
        <x:f>IF(J87="","",IF(LEFT(J87,1)="=",H87,J87))</x:f>
        <x:v>A</x:v>
      </x:c>
      <x:c r="L87" t="str">
        <x:f>IF(G87="","",RIGHT(G87,1))</x:f>
        <x:v>I</x:v>
      </x:c>
      <x:c r="M87" t="n">
        <x:f>IF(L87="D",5,IF(L87="N",10,IF(L87="I",15,IF(L87="M",40,0))))</x:f>
        <x:v>15</x:v>
      </x:c>
    </x:row>
    <x:row r="88">
      <x:c r="A88" t="str">
        <x:v>will|Past</x:v>
      </x:c>
      <x:c r="B88" t="str">
        <x:v>will</x:v>
      </x:c>
      <x:c r="C88" t="str">
        <x:v>Past</x:v>
      </x:c>
      <x:c r="D88" t="str">
        <x:f>INDEX(Data!$C$2:$K$22,MATCH(B88,Data!$B$2:$B$22,0),MATCH(C88,Data!$C$1:$K$1,0))</x:f>
        <x:v>N-=N</x:v>
      </x:c>
      <x:c r="E88" t="str">
        <x:f>UPPER(SUBSTITUTE(TRIM(D88),"1","I"))</x:f>
        <x:v>N-=N</x:v>
      </x:c>
      <x:c r="F88" t="n">
        <x:f>MIN(IFERROR(FIND("^",E88),999),IFERROR(FIND("-",E88),999))</x:f>
        <x:v>2</x:v>
      </x:c>
      <x:c r="G88" t="str">
        <x:f>IF(OR(E88="",F88=999,LEN(E88)&lt;=F88),"",MID(E88,F88+1,99))</x:f>
        <x:v>=N</x:v>
      </x:c>
      <x:c r="H88" t="str">
        <x:f>IF(OR(E88="",F88=999),"",LEFT(E88,F88-1))</x:f>
        <x:v>N</x:v>
      </x:c>
      <x:c r="I88" t="n">
        <x:f>IF(MID(E88,F88,1)="-",0.75,IF(MID(E88,F88,1)="^",1,0))</x:f>
        <x:v>0.75</x:v>
      </x:c>
      <x:c r="J88" t="str">
        <x:f>IF(G88="","",IF(LEN(G88)=1,"=",LEFT(G88,LEN(G88)-1)))</x:f>
        <x:v>=</x:v>
      </x:c>
      <x:c r="K88" t="str">
        <x:f>IF(J88="","",IF(LEFT(J88,1)="=",H88,J88))</x:f>
        <x:v>N</x:v>
      </x:c>
      <x:c r="L88" t="str">
        <x:f>IF(G88="","",RIGHT(G88,1))</x:f>
        <x:v>N</x:v>
      </x:c>
      <x:c r="M88" t="n">
        <x:f>IF(L88="D",5,IF(L88="N",10,IF(L88="I",15,IF(L88="M",40,0))))</x:f>
        <x:v>10</x:v>
      </x:c>
    </x:row>
    <x:row r="89">
      <x:c r="A89" t="str">
        <x:v>will|D/S</x:v>
      </x:c>
      <x:c r="B89" t="str">
        <x:v>will</x:v>
      </x:c>
      <x:c r="C89" t="str">
        <x:v>D/S</x:v>
      </x:c>
      <x:c r="D89" t="str">
        <x:f>INDEX(Data!$C$2:$K$22,MATCH(B89,Data!$B$2:$B$22,0),MATCH(C89,Data!$C$1:$K$1,0))</x:f>
        <x:v>D-=M</x:v>
      </x:c>
      <x:c r="E89" t="str">
        <x:f>UPPER(SUBSTITUTE(TRIM(D89),"1","I"))</x:f>
        <x:v>D-=M</x:v>
      </x:c>
      <x:c r="F89" t="n">
        <x:f>MIN(IFERROR(FIND("^",E89),999),IFERROR(FIND("-",E89),999))</x:f>
        <x:v>2</x:v>
      </x:c>
      <x:c r="G89" t="str">
        <x:f>IF(OR(E89="",F89=999,LEN(E89)&lt;=F89),"",MID(E89,F89+1,99))</x:f>
        <x:v>=M</x:v>
      </x:c>
      <x:c r="H89" t="str">
        <x:f>IF(OR(E89="",F89=999),"",LEFT(E89,F89-1))</x:f>
        <x:v>D</x:v>
      </x:c>
      <x:c r="I89" t="n">
        <x:f>IF(MID(E89,F89,1)="-",0.75,IF(MID(E89,F89,1)="^",1,0))</x:f>
        <x:v>0.75</x:v>
      </x:c>
      <x:c r="J89" t="str">
        <x:f>IF(G89="","",IF(LEN(G89)=1,"=",LEFT(G89,LEN(G89)-1)))</x:f>
        <x:v>=</x:v>
      </x:c>
      <x:c r="K89" t="str">
        <x:f>IF(J89="","",IF(LEFT(J89,1)="=",H89,J89))</x:f>
        <x:v>D</x:v>
      </x:c>
      <x:c r="L89" t="str">
        <x:f>IF(G89="","",RIGHT(G89,1))</x:f>
        <x:v>M</x:v>
      </x:c>
      <x:c r="M89" t="n">
        <x:f>IF(L89="D",5,IF(L89="N",10,IF(L89="I",15,IF(L89="M",40,0))))</x:f>
        <x:v>40</x:v>
      </x:c>
    </x:row>
    <x:row r="90">
      <x:c r="A90" t="str">
        <x:v>will|True/kind</x:v>
      </x:c>
      <x:c r="B90" t="str">
        <x:v>will</x:v>
      </x:c>
      <x:c r="C90" t="str">
        <x:v>True/kind</x:v>
      </x:c>
      <x:c r="D90" t="str">
        <x:f>INDEX(Data!$C$2:$K$22,MATCH(B90,Data!$B$2:$B$22,0),MATCH(C90,Data!$C$1:$K$1,0))</x:f>
        <x:v>K-TN</x:v>
      </x:c>
      <x:c r="E90" t="str">
        <x:f>UPPER(SUBSTITUTE(TRIM(D90),"1","I"))</x:f>
        <x:v>K-TN</x:v>
      </x:c>
      <x:c r="F90" t="n">
        <x:f>MIN(IFERROR(FIND("^",E90),999),IFERROR(FIND("-",E90),999))</x:f>
        <x:v>2</x:v>
      </x:c>
      <x:c r="G90" t="str">
        <x:f>IF(OR(E90="",F90=999,LEN(E90)&lt;=F90),"",MID(E90,F90+1,99))</x:f>
        <x:v>TN</x:v>
      </x:c>
      <x:c r="H90" t="str">
        <x:f>IF(OR(E90="",F90=999),"",LEFT(E90,F90-1))</x:f>
        <x:v>K</x:v>
      </x:c>
      <x:c r="I90" t="n">
        <x:f>IF(MID(E90,F90,1)="-",0.75,IF(MID(E90,F90,1)="^",1,0))</x:f>
        <x:v>0.75</x:v>
      </x:c>
      <x:c r="J90" t="str">
        <x:f>IF(G90="","",IF(LEN(G90)=1,"=",LEFT(G90,LEN(G90)-1)))</x:f>
        <x:v>T</x:v>
      </x:c>
      <x:c r="K90" t="str">
        <x:f>IF(J90="","",IF(LEFT(J90,1)="=",H90,J90))</x:f>
        <x:v>T</x:v>
      </x:c>
      <x:c r="L90" t="str">
        <x:f>IF(G90="","",RIGHT(G90,1))</x:f>
        <x:v>N</x:v>
      </x:c>
      <x:c r="M90" t="n">
        <x:f>IF(L90="D",5,IF(L90="N",10,IF(L90="I",15,IF(L90="M",40,0))))</x:f>
        <x:v>10</x:v>
      </x:c>
    </x:row>
    <x:row r="91">
      <x:c r="A91" t="str">
        <x:v>will|Animal</x:v>
      </x:c>
      <x:c r="B91" t="str">
        <x:v>will</x:v>
      </x:c>
      <x:c r="C91" t="str">
        <x:v>Animal</x:v>
      </x:c>
      <x:c r="D91" t="str">
        <x:f>INDEX(Data!$C$2:$K$22,MATCH(B91,Data!$B$2:$B$22,0),MATCH(C91,Data!$C$1:$K$1,0))</x:f>
        <x:v>A^</x:v>
      </x:c>
      <x:c r="E91" t="str">
        <x:f>UPPER(SUBSTITUTE(TRIM(D91),"1","I"))</x:f>
        <x:v>A^</x:v>
      </x:c>
      <x:c r="F91" t="n">
        <x:f>MIN(IFERROR(FIND("^",E91),999),IFERROR(FIND("-",E91),999))</x:f>
        <x:v>2</x:v>
      </x:c>
      <x:c r="G91" t="str">
        <x:f>IF(OR(E91="",F91=999,LEN(E91)&lt;=F91),"",MID(E91,F91+1,99))</x:f>
      </x:c>
      <x:c r="H91" t="str">
        <x:f>IF(OR(E91="",F91=999),"",LEFT(E91,F91-1))</x:f>
        <x:v>A</x:v>
      </x:c>
      <x:c r="I91" t="n">
        <x:f>IF(MID(E91,F91,1)="-",0.75,IF(MID(E91,F91,1)="^",1,0))</x:f>
        <x:v>1</x:v>
      </x:c>
      <x:c r="J91" t="str">
        <x:f>IF(G91="","",IF(LEN(G91)=1,"=",LEFT(G91,LEN(G91)-1)))</x:f>
      </x:c>
      <x:c r="K91" t="str">
        <x:f>IF(J91="","",IF(LEFT(J91,1)="=",H91,J91))</x:f>
      </x:c>
      <x:c r="L91" t="str">
        <x:f>IF(G91="","",RIGHT(G91,1))</x:f>
      </x:c>
      <x:c r="M91" t="n">
        <x:f>IF(L91="D",5,IF(L91="N",10,IF(L91="I",15,IF(L91="M",40,0))))</x:f>
        <x:v>0</x:v>
      </x:c>
    </x:row>
    <x:row r="92">
      <x:c r="A92" t="str">
        <x:v>jt|God</x:v>
      </x:c>
      <x:c r="B92" t="str">
        <x:v>jt</x:v>
      </x:c>
      <x:c r="C92" t="str">
        <x:v>God</x:v>
      </x:c>
      <x:c r="D92" t="str">
        <x:f>INDEX(Data!$C$2:$K$22,MATCH(B92,Data!$B$2:$B$22,0),MATCH(C92,Data!$C$1:$K$1,0))</x:f>
        <x:v>N^=I</x:v>
      </x:c>
      <x:c r="E92" t="str">
        <x:f>UPPER(SUBSTITUTE(TRIM(D92),"1","I"))</x:f>
        <x:v>N^=I</x:v>
      </x:c>
      <x:c r="F92" t="n">
        <x:f>MIN(IFERROR(FIND("^",E92),999),IFERROR(FIND("-",E92),999))</x:f>
        <x:v>2</x:v>
      </x:c>
      <x:c r="G92" t="str">
        <x:f>IF(OR(E92="",F92=999,LEN(E92)&lt;=F92),"",MID(E92,F92+1,99))</x:f>
        <x:v>=I</x:v>
      </x:c>
      <x:c r="H92" t="str">
        <x:f>IF(OR(E92="",F92=999),"",LEFT(E92,F92-1))</x:f>
        <x:v>N</x:v>
      </x:c>
      <x:c r="I92" t="n">
        <x:f>IF(MID(E92,F92,1)="-",0.75,IF(MID(E92,F92,1)="^",1,0))</x:f>
        <x:v>1</x:v>
      </x:c>
      <x:c r="J92" t="str">
        <x:f>IF(G92="","",IF(LEN(G92)=1,"=",LEFT(G92,LEN(G92)-1)))</x:f>
        <x:v>=</x:v>
      </x:c>
      <x:c r="K92" t="str">
        <x:f>IF(J92="","",IF(LEFT(J92,1)="=",H92,J92))</x:f>
        <x:v>N</x:v>
      </x:c>
      <x:c r="L92" t="str">
        <x:f>IF(G92="","",RIGHT(G92,1))</x:f>
        <x:v>I</x:v>
      </x:c>
      <x:c r="M92" t="n">
        <x:f>IF(L92="D",5,IF(L92="N",10,IF(L92="I",15,IF(L92="M",40,0))))</x:f>
        <x:v>15</x:v>
      </x:c>
    </x:row>
    <x:row r="93">
      <x:c r="A93" t="str">
        <x:v>jt|Politics</x:v>
      </x:c>
      <x:c r="B93" t="str">
        <x:v>jt</x:v>
      </x:c>
      <x:c r="C93" t="str">
        <x:v>Politics</x:v>
      </x:c>
      <x:c r="D93" t="str">
        <x:f>INDEX(Data!$C$2:$K$22,MATCH(B93,Data!$B$2:$B$22,0),MATCH(C93,Data!$C$1:$K$1,0))</x:f>
        <x:v>R^=N</x:v>
      </x:c>
      <x:c r="E93" t="str">
        <x:f>UPPER(SUBSTITUTE(TRIM(D93),"1","I"))</x:f>
        <x:v>R^=N</x:v>
      </x:c>
      <x:c r="F93" t="n">
        <x:f>MIN(IFERROR(FIND("^",E93),999),IFERROR(FIND("-",E93),999))</x:f>
        <x:v>2</x:v>
      </x:c>
      <x:c r="G93" t="str">
        <x:f>IF(OR(E93="",F93=999,LEN(E93)&lt;=F93),"",MID(E93,F93+1,99))</x:f>
        <x:v>=N</x:v>
      </x:c>
      <x:c r="H93" t="str">
        <x:f>IF(OR(E93="",F93=999),"",LEFT(E93,F93-1))</x:f>
        <x:v>R</x:v>
      </x:c>
      <x:c r="I93" t="n">
        <x:f>IF(MID(E93,F93,1)="-",0.75,IF(MID(E93,F93,1)="^",1,0))</x:f>
        <x:v>1</x:v>
      </x:c>
      <x:c r="J93" t="str">
        <x:f>IF(G93="","",IF(LEN(G93)=1,"=",LEFT(G93,LEN(G93)-1)))</x:f>
        <x:v>=</x:v>
      </x:c>
      <x:c r="K93" t="str">
        <x:f>IF(J93="","",IF(LEFT(J93,1)="=",H93,J93))</x:f>
        <x:v>R</x:v>
      </x:c>
      <x:c r="L93" t="str">
        <x:f>IF(G93="","",RIGHT(G93,1))</x:f>
        <x:v>N</x:v>
      </x:c>
      <x:c r="M93" t="n">
        <x:f>IF(L93="D",5,IF(L93="N",10,IF(L93="I",15,IF(L93="M",40,0))))</x:f>
        <x:v>10</x:v>
      </x:c>
    </x:row>
    <x:row r="94">
      <x:c r="A94" t="str">
        <x:v>jt|Marriage</x:v>
      </x:c>
      <x:c r="B94" t="str">
        <x:v>jt</x:v>
      </x:c>
      <x:c r="C94" t="str">
        <x:v>Marriage</x:v>
      </x:c>
      <x:c r="D94" t="str">
        <x:f>INDEX(Data!$C$2:$K$22,MATCH(B94,Data!$B$2:$B$22,0),MATCH(C94,Data!$C$1:$K$1,0))</x:f>
        <x:v>L-</x:v>
      </x:c>
      <x:c r="E94" t="str">
        <x:f>UPPER(SUBSTITUTE(TRIM(D94),"1","I"))</x:f>
        <x:v>L-</x:v>
      </x:c>
      <x:c r="F94" t="n">
        <x:f>MIN(IFERROR(FIND("^",E94),999),IFERROR(FIND("-",E94),999))</x:f>
        <x:v>2</x:v>
      </x:c>
      <x:c r="G94" t="str">
        <x:f>IF(OR(E94="",F94=999,LEN(E94)&lt;=F94),"",MID(E94,F94+1,99))</x:f>
      </x:c>
      <x:c r="H94" t="str">
        <x:f>IF(OR(E94="",F94=999),"",LEFT(E94,F94-1))</x:f>
        <x:v>L</x:v>
      </x:c>
      <x:c r="I94" t="n">
        <x:f>IF(MID(E94,F94,1)="-",0.75,IF(MID(E94,F94,1)="^",1,0))</x:f>
        <x:v>0.75</x:v>
      </x:c>
      <x:c r="J94" t="str">
        <x:f>IF(G94="","",IF(LEN(G94)=1,"=",LEFT(G94,LEN(G94)-1)))</x:f>
      </x:c>
      <x:c r="K94" t="str">
        <x:f>IF(J94="","",IF(LEFT(J94,1)="=",H94,J94))</x:f>
      </x:c>
      <x:c r="L94" t="str">
        <x:f>IF(G94="","",RIGHT(G94,1))</x:f>
      </x:c>
      <x:c r="M94" t="n">
        <x:f>IF(L94="D",5,IF(L94="N",10,IF(L94="I",15,IF(L94="M",40,0))))</x:f>
        <x:v>0</x:v>
      </x:c>
    </x:row>
    <x:row r="95">
      <x:c r="A95" t="str">
        <x:v>jt|Children</x:v>
      </x:c>
      <x:c r="B95" t="str">
        <x:v>jt</x:v>
      </x:c>
      <x:c r="C95" t="str">
        <x:v>Children</x:v>
      </x:c>
      <x:c r="D95" t="str">
        <x:f>INDEX(Data!$C$2:$K$22,MATCH(B95,Data!$B$2:$B$22,0),MATCH(C95,Data!$C$1:$K$1,0))</x:f>
        <x:v>Y-=D</x:v>
      </x:c>
      <x:c r="E95" t="str">
        <x:f>UPPER(SUBSTITUTE(TRIM(D95),"1","I"))</x:f>
        <x:v>Y-=D</x:v>
      </x:c>
      <x:c r="F95" t="n">
        <x:f>MIN(IFERROR(FIND("^",E95),999),IFERROR(FIND("-",E95),999))</x:f>
        <x:v>2</x:v>
      </x:c>
      <x:c r="G95" t="str">
        <x:f>IF(OR(E95="",F95=999,LEN(E95)&lt;=F95),"",MID(E95,F95+1,99))</x:f>
        <x:v>=D</x:v>
      </x:c>
      <x:c r="H95" t="str">
        <x:f>IF(OR(E95="",F95=999),"",LEFT(E95,F95-1))</x:f>
        <x:v>Y</x:v>
      </x:c>
      <x:c r="I95" t="n">
        <x:f>IF(MID(E95,F95,1)="-",0.75,IF(MID(E95,F95,1)="^",1,0))</x:f>
        <x:v>0.75</x:v>
      </x:c>
      <x:c r="J95" t="str">
        <x:f>IF(G95="","",IF(LEN(G95)=1,"=",LEFT(G95,LEN(G95)-1)))</x:f>
        <x:v>=</x:v>
      </x:c>
      <x:c r="K95" t="str">
        <x:f>IF(J95="","",IF(LEFT(J95,1)="=",H95,J95))</x:f>
        <x:v>Y</x:v>
      </x:c>
      <x:c r="L95" t="str">
        <x:f>IF(G95="","",RIGHT(G95,1))</x:f>
        <x:v>D</x:v>
      </x:c>
      <x:c r="M95" t="n">
        <x:f>IF(L95="D",5,IF(L95="N",10,IF(L95="I",15,IF(L95="M",40,0))))</x:f>
        <x:v>5</x:v>
      </x:c>
    </x:row>
    <x:row r="96">
      <x:c r="A96" t="str">
        <x:v>jt|Ethicity</x:v>
      </x:c>
      <x:c r="B96" t="str">
        <x:v>jt</x:v>
      </x:c>
      <x:c r="C96" t="str">
        <x:v>Ethicity</x:v>
      </x:c>
      <x:c r="D96" t="str">
        <x:f>INDEX(Data!$C$2:$K$22,MATCH(B96,Data!$B$2:$B$22,0),MATCH(C96,Data!$C$1:$K$1,0))</x:f>
        <x:v>A^=I</x:v>
      </x:c>
      <x:c r="E96" t="str">
        <x:f>UPPER(SUBSTITUTE(TRIM(D96),"1","I"))</x:f>
        <x:v>A^=I</x:v>
      </x:c>
      <x:c r="F96" t="n">
        <x:f>MIN(IFERROR(FIND("^",E96),999),IFERROR(FIND("-",E96),999))</x:f>
        <x:v>2</x:v>
      </x:c>
      <x:c r="G96" t="str">
        <x:f>IF(OR(E96="",F96=999,LEN(E96)&lt;=F96),"",MID(E96,F96+1,99))</x:f>
        <x:v>=I</x:v>
      </x:c>
      <x:c r="H96" t="str">
        <x:f>IF(OR(E96="",F96=999),"",LEFT(E96,F96-1))</x:f>
        <x:v>A</x:v>
      </x:c>
      <x:c r="I96" t="n">
        <x:f>IF(MID(E96,F96,1)="-",0.75,IF(MID(E96,F96,1)="^",1,0))</x:f>
        <x:v>1</x:v>
      </x:c>
      <x:c r="J96" t="str">
        <x:f>IF(G96="","",IF(LEN(G96)=1,"=",LEFT(G96,LEN(G96)-1)))</x:f>
        <x:v>=</x:v>
      </x:c>
      <x:c r="K96" t="str">
        <x:f>IF(J96="","",IF(LEFT(J96,1)="=",H96,J96))</x:f>
        <x:v>A</x:v>
      </x:c>
      <x:c r="L96" t="str">
        <x:f>IF(G96="","",RIGHT(G96,1))</x:f>
        <x:v>I</x:v>
      </x:c>
      <x:c r="M96" t="n">
        <x:f>IF(L96="D",5,IF(L96="N",10,IF(L96="I",15,IF(L96="M",40,0))))</x:f>
        <x:v>15</x:v>
      </x:c>
    </x:row>
    <x:row r="97">
      <x:c r="A97" t="str">
        <x:v>jt|Past</x:v>
      </x:c>
      <x:c r="B97" t="str">
        <x:v>jt</x:v>
      </x:c>
      <x:c r="C97" t="str">
        <x:v>Past</x:v>
      </x:c>
      <x:c r="D97" t="str">
        <x:f>INDEX(Data!$C$2:$K$22,MATCH(B97,Data!$B$2:$B$22,0),MATCH(C97,Data!$C$1:$K$1,0))</x:f>
        <x:v>Y^ND</x:v>
      </x:c>
      <x:c r="E97" t="str">
        <x:f>UPPER(SUBSTITUTE(TRIM(D97),"1","I"))</x:f>
        <x:v>Y^ND</x:v>
      </x:c>
      <x:c r="F97" t="n">
        <x:f>MIN(IFERROR(FIND("^",E97),999),IFERROR(FIND("-",E97),999))</x:f>
        <x:v>2</x:v>
      </x:c>
      <x:c r="G97" t="str">
        <x:f>IF(OR(E97="",F97=999,LEN(E97)&lt;=F97),"",MID(E97,F97+1,99))</x:f>
        <x:v>ND</x:v>
      </x:c>
      <x:c r="H97" t="str">
        <x:f>IF(OR(E97="",F97=999),"",LEFT(E97,F97-1))</x:f>
        <x:v>Y</x:v>
      </x:c>
      <x:c r="I97" t="n">
        <x:f>IF(MID(E97,F97,1)="-",0.75,IF(MID(E97,F97,1)="^",1,0))</x:f>
        <x:v>1</x:v>
      </x:c>
      <x:c r="J97" t="str">
        <x:f>IF(G97="","",IF(LEN(G97)=1,"=",LEFT(G97,LEN(G97)-1)))</x:f>
        <x:v>N</x:v>
      </x:c>
      <x:c r="K97" t="str">
        <x:f>IF(J97="","",IF(LEFT(J97,1)="=",H97,J97))</x:f>
        <x:v>N</x:v>
      </x:c>
      <x:c r="L97" t="str">
        <x:f>IF(G97="","",RIGHT(G97,1))</x:f>
        <x:v>D</x:v>
      </x:c>
      <x:c r="M97" t="n">
        <x:f>IF(L97="D",5,IF(L97="N",10,IF(L97="I",15,IF(L97="M",40,0))))</x:f>
        <x:v>5</x:v>
      </x:c>
    </x:row>
    <x:row r="98">
      <x:c r="A98" t="str">
        <x:v>jt|D/S</x:v>
      </x:c>
      <x:c r="B98" t="str">
        <x:v>jt</x:v>
      </x:c>
      <x:c r="C98" t="str">
        <x:v>D/S</x:v>
      </x:c>
      <x:c r="D98" t="str">
        <x:f>INDEX(Data!$C$2:$K$22,MATCH(B98,Data!$B$2:$B$22,0),MATCH(C98,Data!$C$1:$K$1,0))</x:f>
        <x:v>S-</x:v>
      </x:c>
      <x:c r="E98" t="str">
        <x:f>UPPER(SUBSTITUTE(TRIM(D98),"1","I"))</x:f>
        <x:v>S-</x:v>
      </x:c>
      <x:c r="F98" t="n">
        <x:f>MIN(IFERROR(FIND("^",E98),999),IFERROR(FIND("-",E98),999))</x:f>
        <x:v>2</x:v>
      </x:c>
      <x:c r="G98" t="str">
        <x:f>IF(OR(E98="",F98=999,LEN(E98)&lt;=F98),"",MID(E98,F98+1,99))</x:f>
      </x:c>
      <x:c r="H98" t="str">
        <x:f>IF(OR(E98="",F98=999),"",LEFT(E98,F98-1))</x:f>
        <x:v>S</x:v>
      </x:c>
      <x:c r="I98" t="n">
        <x:f>IF(MID(E98,F98,1)="-",0.75,IF(MID(E98,F98,1)="^",1,0))</x:f>
        <x:v>0.75</x:v>
      </x:c>
      <x:c r="J98" t="str">
        <x:f>IF(G98="","",IF(LEN(G98)=1,"=",LEFT(G98,LEN(G98)-1)))</x:f>
      </x:c>
      <x:c r="K98" t="str">
        <x:f>IF(J98="","",IF(LEFT(J98,1)="=",H98,J98))</x:f>
      </x:c>
      <x:c r="L98" t="str">
        <x:f>IF(G98="","",RIGHT(G98,1))</x:f>
      </x:c>
      <x:c r="M98" t="n">
        <x:f>IF(L98="D",5,IF(L98="N",10,IF(L98="I",15,IF(L98="M",40,0))))</x:f>
        <x:v>0</x:v>
      </x:c>
    </x:row>
    <x:row r="99">
      <x:c r="A99" t="str">
        <x:v>jt|True/kind</x:v>
      </x:c>
      <x:c r="B99" t="str">
        <x:v>jt</x:v>
      </x:c>
      <x:c r="C99" t="str">
        <x:v>True/kind</x:v>
      </x:c>
      <x:c r="D99" t="str">
        <x:f>INDEX(Data!$C$2:$K$22,MATCH(B99,Data!$B$2:$B$22,0),MATCH(C99,Data!$C$1:$K$1,0))</x:f>
        <x:v>T^=M</x:v>
      </x:c>
      <x:c r="E99" t="str">
        <x:f>UPPER(SUBSTITUTE(TRIM(D99),"1","I"))</x:f>
        <x:v>T^=M</x:v>
      </x:c>
      <x:c r="F99" t="n">
        <x:f>MIN(IFERROR(FIND("^",E99),999),IFERROR(FIND("-",E99),999))</x:f>
        <x:v>2</x:v>
      </x:c>
      <x:c r="G99" t="str">
        <x:f>IF(OR(E99="",F99=999,LEN(E99)&lt;=F99),"",MID(E99,F99+1,99))</x:f>
        <x:v>=M</x:v>
      </x:c>
      <x:c r="H99" t="str">
        <x:f>IF(OR(E99="",F99=999),"",LEFT(E99,F99-1))</x:f>
        <x:v>T</x:v>
      </x:c>
      <x:c r="I99" t="n">
        <x:f>IF(MID(E99,F99,1)="-",0.75,IF(MID(E99,F99,1)="^",1,0))</x:f>
        <x:v>1</x:v>
      </x:c>
      <x:c r="J99" t="str">
        <x:f>IF(G99="","",IF(LEN(G99)=1,"=",LEFT(G99,LEN(G99)-1)))</x:f>
        <x:v>=</x:v>
      </x:c>
      <x:c r="K99" t="str">
        <x:f>IF(J99="","",IF(LEFT(J99,1)="=",H99,J99))</x:f>
        <x:v>T</x:v>
      </x:c>
      <x:c r="L99" t="str">
        <x:f>IF(G99="","",RIGHT(G99,1))</x:f>
        <x:v>M</x:v>
      </x:c>
      <x:c r="M99" t="n">
        <x:f>IF(L99="D",5,IF(L99="N",10,IF(L99="I",15,IF(L99="M",40,0))))</x:f>
        <x:v>40</x:v>
      </x:c>
    </x:row>
    <x:row r="100">
      <x:c r="A100" t="str">
        <x:v>jt|Animal</x:v>
      </x:c>
      <x:c r="B100" t="str">
        <x:v>jt</x:v>
      </x:c>
      <x:c r="C100" t="str">
        <x:v>Animal</x:v>
      </x:c>
      <x:c r="D100" t="str">
        <x:f>INDEX(Data!$C$2:$K$22,MATCH(B100,Data!$B$2:$B$22,0),MATCH(C100,Data!$C$1:$K$1,0))</x:f>
        <x:v>A-=N</x:v>
      </x:c>
      <x:c r="E100" t="str">
        <x:f>UPPER(SUBSTITUTE(TRIM(D100),"1","I"))</x:f>
        <x:v>A-=N</x:v>
      </x:c>
      <x:c r="F100" t="n">
        <x:f>MIN(IFERROR(FIND("^",E100),999),IFERROR(FIND("-",E100),999))</x:f>
        <x:v>2</x:v>
      </x:c>
      <x:c r="G100" t="str">
        <x:f>IF(OR(E100="",F100=999,LEN(E100)&lt;=F100),"",MID(E100,F100+1,99))</x:f>
        <x:v>=N</x:v>
      </x:c>
      <x:c r="H100" t="str">
        <x:f>IF(OR(E100="",F100=999),"",LEFT(E100,F100-1))</x:f>
        <x:v>A</x:v>
      </x:c>
      <x:c r="I100" t="n">
        <x:f>IF(MID(E100,F100,1)="-",0.75,IF(MID(E100,F100,1)="^",1,0))</x:f>
        <x:v>0.75</x:v>
      </x:c>
      <x:c r="J100" t="str">
        <x:f>IF(G100="","",IF(LEN(G100)=1,"=",LEFT(G100,LEN(G100)-1)))</x:f>
        <x:v>=</x:v>
      </x:c>
      <x:c r="K100" t="str">
        <x:f>IF(J100="","",IF(LEFT(J100,1)="=",H100,J100))</x:f>
        <x:v>A</x:v>
      </x:c>
      <x:c r="L100" t="str">
        <x:f>IF(G100="","",RIGHT(G100,1))</x:f>
        <x:v>N</x:v>
      </x:c>
      <x:c r="M100" t="n">
        <x:f>IF(L100="D",5,IF(L100="N",10,IF(L100="I",15,IF(L100="M",40,0))))</x:f>
        <x:v>10</x:v>
      </x:c>
    </x:row>
    <x:row r="101">
      <x:c r="A101" t="str">
        <x:v>leo|God</x:v>
      </x:c>
      <x:c r="B101" t="str">
        <x:v>leo</x:v>
      </x:c>
      <x:c r="C101" t="str">
        <x:v>God</x:v>
      </x:c>
      <x:c r="D101" t="str">
        <x:f>INDEX(Data!$C$2:$K$22,MATCH(B101,Data!$B$2:$B$22,0),MATCH(C101,Data!$C$1:$K$1,0))</x:f>
        <x:v>N^=D</x:v>
      </x:c>
      <x:c r="E101" t="str">
        <x:f>UPPER(SUBSTITUTE(TRIM(D101),"1","I"))</x:f>
        <x:v>N^=D</x:v>
      </x:c>
      <x:c r="F101" t="n">
        <x:f>MIN(IFERROR(FIND("^",E101),999),IFERROR(FIND("-",E101),999))</x:f>
        <x:v>2</x:v>
      </x:c>
      <x:c r="G101" t="str">
        <x:f>IF(OR(E101="",F101=999,LEN(E101)&lt;=F101),"",MID(E101,F101+1,99))</x:f>
        <x:v>=D</x:v>
      </x:c>
      <x:c r="H101" t="str">
        <x:f>IF(OR(E101="",F101=999),"",LEFT(E101,F101-1))</x:f>
        <x:v>N</x:v>
      </x:c>
      <x:c r="I101" t="n">
        <x:f>IF(MID(E101,F101,1)="-",0.75,IF(MID(E101,F101,1)="^",1,0))</x:f>
        <x:v>1</x:v>
      </x:c>
      <x:c r="J101" t="str">
        <x:f>IF(G101="","",IF(LEN(G101)=1,"=",LEFT(G101,LEN(G101)-1)))</x:f>
        <x:v>=</x:v>
      </x:c>
      <x:c r="K101" t="str">
        <x:f>IF(J101="","",IF(LEFT(J101,1)="=",H101,J101))</x:f>
        <x:v>N</x:v>
      </x:c>
      <x:c r="L101" t="str">
        <x:f>IF(G101="","",RIGHT(G101,1))</x:f>
        <x:v>D</x:v>
      </x:c>
      <x:c r="M101" t="n">
        <x:f>IF(L101="D",5,IF(L101="N",10,IF(L101="I",15,IF(L101="M",40,0))))</x:f>
        <x:v>5</x:v>
      </x:c>
    </x:row>
    <x:row r="102">
      <x:c r="A102" t="str">
        <x:v>leo|Politics</x:v>
      </x:c>
      <x:c r="B102" t="str">
        <x:v>leo</x:v>
      </x:c>
      <x:c r="C102" t="str">
        <x:v>Politics</x:v>
      </x:c>
      <x:c r="D102" t="str">
        <x:f>INDEX(Data!$C$2:$K$22,MATCH(B102,Data!$B$2:$B$22,0),MATCH(C102,Data!$C$1:$K$1,0))</x:f>
        <x:v>L^=M</x:v>
      </x:c>
      <x:c r="E102" t="str">
        <x:f>UPPER(SUBSTITUTE(TRIM(D102),"1","I"))</x:f>
        <x:v>L^=M</x:v>
      </x:c>
      <x:c r="F102" t="n">
        <x:f>MIN(IFERROR(FIND("^",E102),999),IFERROR(FIND("-",E102),999))</x:f>
        <x:v>2</x:v>
      </x:c>
      <x:c r="G102" t="str">
        <x:f>IF(OR(E102="",F102=999,LEN(E102)&lt;=F102),"",MID(E102,F102+1,99))</x:f>
        <x:v>=M</x:v>
      </x:c>
      <x:c r="H102" t="str">
        <x:f>IF(OR(E102="",F102=999),"",LEFT(E102,F102-1))</x:f>
        <x:v>L</x:v>
      </x:c>
      <x:c r="I102" t="n">
        <x:f>IF(MID(E102,F102,1)="-",0.75,IF(MID(E102,F102,1)="^",1,0))</x:f>
        <x:v>1</x:v>
      </x:c>
      <x:c r="J102" t="str">
        <x:f>IF(G102="","",IF(LEN(G102)=1,"=",LEFT(G102,LEN(G102)-1)))</x:f>
        <x:v>=</x:v>
      </x:c>
      <x:c r="K102" t="str">
        <x:f>IF(J102="","",IF(LEFT(J102,1)="=",H102,J102))</x:f>
        <x:v>L</x:v>
      </x:c>
      <x:c r="L102" t="str">
        <x:f>IF(G102="","",RIGHT(G102,1))</x:f>
        <x:v>M</x:v>
      </x:c>
      <x:c r="M102" t="n">
        <x:f>IF(L102="D",5,IF(L102="N",10,IF(L102="I",15,IF(L102="M",40,0))))</x:f>
        <x:v>40</x:v>
      </x:c>
    </x:row>
    <x:row r="103">
      <x:c r="A103" t="str">
        <x:v>leo|Marriage</x:v>
      </x:c>
      <x:c r="B103" t="str">
        <x:v>leo</x:v>
      </x:c>
      <x:c r="C103" t="str">
        <x:v>Marriage</x:v>
      </x:c>
      <x:c r="D103" t="str">
        <x:f>INDEX(Data!$C$2:$K$22,MATCH(B103,Data!$B$2:$B$22,0),MATCH(C103,Data!$C$1:$K$1,0))</x:f>
        <x:v>L-=N</x:v>
      </x:c>
      <x:c r="E103" t="str">
        <x:f>UPPER(SUBSTITUTE(TRIM(D103),"1","I"))</x:f>
        <x:v>L-=N</x:v>
      </x:c>
      <x:c r="F103" t="n">
        <x:f>MIN(IFERROR(FIND("^",E103),999),IFERROR(FIND("-",E103),999))</x:f>
        <x:v>2</x:v>
      </x:c>
      <x:c r="G103" t="str">
        <x:f>IF(OR(E103="",F103=999,LEN(E103)&lt;=F103),"",MID(E103,F103+1,99))</x:f>
        <x:v>=N</x:v>
      </x:c>
      <x:c r="H103" t="str">
        <x:f>IF(OR(E103="",F103=999),"",LEFT(E103,F103-1))</x:f>
        <x:v>L</x:v>
      </x:c>
      <x:c r="I103" t="n">
        <x:f>IF(MID(E103,F103,1)="-",0.75,IF(MID(E103,F103,1)="^",1,0))</x:f>
        <x:v>0.75</x:v>
      </x:c>
      <x:c r="J103" t="str">
        <x:f>IF(G103="","",IF(LEN(G103)=1,"=",LEFT(G103,LEN(G103)-1)))</x:f>
        <x:v>=</x:v>
      </x:c>
      <x:c r="K103" t="str">
        <x:f>IF(J103="","",IF(LEFT(J103,1)="=",H103,J103))</x:f>
        <x:v>L</x:v>
      </x:c>
      <x:c r="L103" t="str">
        <x:f>IF(G103="","",RIGHT(G103,1))</x:f>
        <x:v>N</x:v>
      </x:c>
      <x:c r="M103" t="n">
        <x:f>IF(L103="D",5,IF(L103="N",10,IF(L103="I",15,IF(L103="M",40,0))))</x:f>
        <x:v>10</x:v>
      </x:c>
    </x:row>
    <x:row r="104">
      <x:c r="A104" t="str">
        <x:v>leo|Children</x:v>
      </x:c>
      <x:c r="B104" t="str">
        <x:v>leo</x:v>
      </x:c>
      <x:c r="C104" t="str">
        <x:v>Children</x:v>
      </x:c>
      <x:c r="D104" t="str">
        <x:f>INDEX(Data!$C$2:$K$22,MATCH(B104,Data!$B$2:$B$22,0),MATCH(C104,Data!$C$1:$K$1,0))</x:f>
        <x:v>Y-=I</x:v>
      </x:c>
      <x:c r="E104" t="str">
        <x:f>UPPER(SUBSTITUTE(TRIM(D104),"1","I"))</x:f>
        <x:v>Y-=I</x:v>
      </x:c>
      <x:c r="F104" t="n">
        <x:f>MIN(IFERROR(FIND("^",E104),999),IFERROR(FIND("-",E104),999))</x:f>
        <x:v>2</x:v>
      </x:c>
      <x:c r="G104" t="str">
        <x:f>IF(OR(E104="",F104=999,LEN(E104)&lt;=F104),"",MID(E104,F104+1,99))</x:f>
        <x:v>=I</x:v>
      </x:c>
      <x:c r="H104" t="str">
        <x:f>IF(OR(E104="",F104=999),"",LEFT(E104,F104-1))</x:f>
        <x:v>Y</x:v>
      </x:c>
      <x:c r="I104" t="n">
        <x:f>IF(MID(E104,F104,1)="-",0.75,IF(MID(E104,F104,1)="^",1,0))</x:f>
        <x:v>0.75</x:v>
      </x:c>
      <x:c r="J104" t="str">
        <x:f>IF(G104="","",IF(LEN(G104)=1,"=",LEFT(G104,LEN(G104)-1)))</x:f>
        <x:v>=</x:v>
      </x:c>
      <x:c r="K104" t="str">
        <x:f>IF(J104="","",IF(LEFT(J104,1)="=",H104,J104))</x:f>
        <x:v>Y</x:v>
      </x:c>
      <x:c r="L104" t="str">
        <x:f>IF(G104="","",RIGHT(G104,1))</x:f>
        <x:v>I</x:v>
      </x:c>
      <x:c r="M104" t="n">
        <x:f>IF(L104="D",5,IF(L104="N",10,IF(L104="I",15,IF(L104="M",40,0))))</x:f>
        <x:v>15</x:v>
      </x:c>
    </x:row>
    <x:row r="105">
      <x:c r="A105" t="str">
        <x:v>leo|Ethicity</x:v>
      </x:c>
      <x:c r="B105" t="str">
        <x:v>leo</x:v>
      </x:c>
      <x:c r="C105" t="str">
        <x:v>Ethicity</x:v>
      </x:c>
      <x:c r="D105" t="str">
        <x:f>INDEX(Data!$C$2:$K$22,MATCH(B105,Data!$B$2:$B$22,0),MATCH(C105,Data!$C$1:$K$1,0))</x:f>
        <x:v>A^=I</x:v>
      </x:c>
      <x:c r="E105" t="str">
        <x:f>UPPER(SUBSTITUTE(TRIM(D105),"1","I"))</x:f>
        <x:v>A^=I</x:v>
      </x:c>
      <x:c r="F105" t="n">
        <x:f>MIN(IFERROR(FIND("^",E105),999),IFERROR(FIND("-",E105),999))</x:f>
        <x:v>2</x:v>
      </x:c>
      <x:c r="G105" t="str">
        <x:f>IF(OR(E105="",F105=999,LEN(E105)&lt;=F105),"",MID(E105,F105+1,99))</x:f>
        <x:v>=I</x:v>
      </x:c>
      <x:c r="H105" t="str">
        <x:f>IF(OR(E105="",F105=999),"",LEFT(E105,F105-1))</x:f>
        <x:v>A</x:v>
      </x:c>
      <x:c r="I105" t="n">
        <x:f>IF(MID(E105,F105,1)="-",0.75,IF(MID(E105,F105,1)="^",1,0))</x:f>
        <x:v>1</x:v>
      </x:c>
      <x:c r="J105" t="str">
        <x:f>IF(G105="","",IF(LEN(G105)=1,"=",LEFT(G105,LEN(G105)-1)))</x:f>
        <x:v>=</x:v>
      </x:c>
      <x:c r="K105" t="str">
        <x:f>IF(J105="","",IF(LEFT(J105,1)="=",H105,J105))</x:f>
        <x:v>A</x:v>
      </x:c>
      <x:c r="L105" t="str">
        <x:f>IF(G105="","",RIGHT(G105,1))</x:f>
        <x:v>I</x:v>
      </x:c>
      <x:c r="M105" t="n">
        <x:f>IF(L105="D",5,IF(L105="N",10,IF(L105="I",15,IF(L105="M",40,0))))</x:f>
        <x:v>15</x:v>
      </x:c>
    </x:row>
    <x:row r="106">
      <x:c r="A106" t="str">
        <x:v>leo|Past</x:v>
      </x:c>
      <x:c r="B106" t="str">
        <x:v>leo</x:v>
      </x:c>
      <x:c r="C106" t="str">
        <x:v>Past</x:v>
      </x:c>
      <x:c r="D106" t="str">
        <x:f>INDEX(Data!$C$2:$K$22,MATCH(B106,Data!$B$2:$B$22,0),MATCH(C106,Data!$C$1:$K$1,0))</x:f>
        <x:v>N^=D</x:v>
      </x:c>
      <x:c r="E106" t="str">
        <x:f>UPPER(SUBSTITUTE(TRIM(D106),"1","I"))</x:f>
        <x:v>N^=D</x:v>
      </x:c>
      <x:c r="F106" t="n">
        <x:f>MIN(IFERROR(FIND("^",E106),999),IFERROR(FIND("-",E106),999))</x:f>
        <x:v>2</x:v>
      </x:c>
      <x:c r="G106" t="str">
        <x:f>IF(OR(E106="",F106=999,LEN(E106)&lt;=F106),"",MID(E106,F106+1,99))</x:f>
        <x:v>=D</x:v>
      </x:c>
      <x:c r="H106" t="str">
        <x:f>IF(OR(E106="",F106=999),"",LEFT(E106,F106-1))</x:f>
        <x:v>N</x:v>
      </x:c>
      <x:c r="I106" t="n">
        <x:f>IF(MID(E106,F106,1)="-",0.75,IF(MID(E106,F106,1)="^",1,0))</x:f>
        <x:v>1</x:v>
      </x:c>
      <x:c r="J106" t="str">
        <x:f>IF(G106="","",IF(LEN(G106)=1,"=",LEFT(G106,LEN(G106)-1)))</x:f>
        <x:v>=</x:v>
      </x:c>
      <x:c r="K106" t="str">
        <x:f>IF(J106="","",IF(LEFT(J106,1)="=",H106,J106))</x:f>
        <x:v>N</x:v>
      </x:c>
      <x:c r="L106" t="str">
        <x:f>IF(G106="","",RIGHT(G106,1))</x:f>
        <x:v>D</x:v>
      </x:c>
      <x:c r="M106" t="n">
        <x:f>IF(L106="D",5,IF(L106="N",10,IF(L106="I",15,IF(L106="M",40,0))))</x:f>
        <x:v>5</x:v>
      </x:c>
    </x:row>
    <x:row r="107">
      <x:c r="A107" t="str">
        <x:v>leo|D/S</x:v>
      </x:c>
      <x:c r="B107" t="str">
        <x:v>leo</x:v>
      </x:c>
      <x:c r="C107" t="str">
        <x:v>D/S</x:v>
      </x:c>
      <x:c r="D107" t="str">
        <x:f>INDEX(Data!$C$2:$K$22,MATCH(B107,Data!$B$2:$B$22,0),MATCH(C107,Data!$C$1:$K$1,0))</x:f>
        <x:v>S-DN</x:v>
      </x:c>
      <x:c r="E107" t="str">
        <x:f>UPPER(SUBSTITUTE(TRIM(D107),"1","I"))</x:f>
        <x:v>S-DN</x:v>
      </x:c>
      <x:c r="F107" t="n">
        <x:f>MIN(IFERROR(FIND("^",E107),999),IFERROR(FIND("-",E107),999))</x:f>
        <x:v>2</x:v>
      </x:c>
      <x:c r="G107" t="str">
        <x:f>IF(OR(E107="",F107=999,LEN(E107)&lt;=F107),"",MID(E107,F107+1,99))</x:f>
        <x:v>DN</x:v>
      </x:c>
      <x:c r="H107" t="str">
        <x:f>IF(OR(E107="",F107=999),"",LEFT(E107,F107-1))</x:f>
        <x:v>S</x:v>
      </x:c>
      <x:c r="I107" t="n">
        <x:f>IF(MID(E107,F107,1)="-",0.75,IF(MID(E107,F107,1)="^",1,0))</x:f>
        <x:v>0.75</x:v>
      </x:c>
      <x:c r="J107" t="str">
        <x:f>IF(G107="","",IF(LEN(G107)=1,"=",LEFT(G107,LEN(G107)-1)))</x:f>
        <x:v>D</x:v>
      </x:c>
      <x:c r="K107" t="str">
        <x:f>IF(J107="","",IF(LEFT(J107,1)="=",H107,J107))</x:f>
        <x:v>D</x:v>
      </x:c>
      <x:c r="L107" t="str">
        <x:f>IF(G107="","",RIGHT(G107,1))</x:f>
        <x:v>N</x:v>
      </x:c>
      <x:c r="M107" t="n">
        <x:f>IF(L107="D",5,IF(L107="N",10,IF(L107="I",15,IF(L107="M",40,0))))</x:f>
        <x:v>10</x:v>
      </x:c>
    </x:row>
    <x:row r="108">
      <x:c r="A108" t="str">
        <x:v>leo|True/kind</x:v>
      </x:c>
      <x:c r="B108" t="str">
        <x:v>leo</x:v>
      </x:c>
      <x:c r="C108" t="str">
        <x:v>True/kind</x:v>
      </x:c>
      <x:c r="D108" t="str">
        <x:f>INDEX(Data!$C$2:$K$22,MATCH(B108,Data!$B$2:$B$22,0),MATCH(C108,Data!$C$1:$K$1,0))</x:f>
        <x:v>T-=I</x:v>
      </x:c>
      <x:c r="E108" t="str">
        <x:f>UPPER(SUBSTITUTE(TRIM(D108),"1","I"))</x:f>
        <x:v>T-=I</x:v>
      </x:c>
      <x:c r="F108" t="n">
        <x:f>MIN(IFERROR(FIND("^",E108),999),IFERROR(FIND("-",E108),999))</x:f>
        <x:v>2</x:v>
      </x:c>
      <x:c r="G108" t="str">
        <x:f>IF(OR(E108="",F108=999,LEN(E108)&lt;=F108),"",MID(E108,F108+1,99))</x:f>
        <x:v>=I</x:v>
      </x:c>
      <x:c r="H108" t="str">
        <x:f>IF(OR(E108="",F108=999),"",LEFT(E108,F108-1))</x:f>
        <x:v>T</x:v>
      </x:c>
      <x:c r="I108" t="n">
        <x:f>IF(MID(E108,F108,1)="-",0.75,IF(MID(E108,F108,1)="^",1,0))</x:f>
        <x:v>0.75</x:v>
      </x:c>
      <x:c r="J108" t="str">
        <x:f>IF(G108="","",IF(LEN(G108)=1,"=",LEFT(G108,LEN(G108)-1)))</x:f>
        <x:v>=</x:v>
      </x:c>
      <x:c r="K108" t="str">
        <x:f>IF(J108="","",IF(LEFT(J108,1)="=",H108,J108))</x:f>
        <x:v>T</x:v>
      </x:c>
      <x:c r="L108" t="str">
        <x:f>IF(G108="","",RIGHT(G108,1))</x:f>
        <x:v>I</x:v>
      </x:c>
      <x:c r="M108" t="n">
        <x:f>IF(L108="D",5,IF(L108="N",10,IF(L108="I",15,IF(L108="M",40,0))))</x:f>
        <x:v>15</x:v>
      </x:c>
    </x:row>
    <x:row r="109">
      <x:c r="A109" t="str">
        <x:v>leo|Animal</x:v>
      </x:c>
      <x:c r="B109" t="str">
        <x:v>leo</x:v>
      </x:c>
      <x:c r="C109" t="str">
        <x:v>Animal</x:v>
      </x:c>
      <x:c r="D109" t="str">
        <x:f>INDEX(Data!$C$2:$K$22,MATCH(B109,Data!$B$2:$B$22,0),MATCH(C109,Data!$C$1:$K$1,0))</x:f>
        <x:v>A^</x:v>
      </x:c>
      <x:c r="E109" t="str">
        <x:f>UPPER(SUBSTITUTE(TRIM(D109),"1","I"))</x:f>
        <x:v>A^</x:v>
      </x:c>
      <x:c r="F109" t="n">
        <x:f>MIN(IFERROR(FIND("^",E109),999),IFERROR(FIND("-",E109),999))</x:f>
        <x:v>2</x:v>
      </x:c>
      <x:c r="G109" t="str">
        <x:f>IF(OR(E109="",F109=999,LEN(E109)&lt;=F109),"",MID(E109,F109+1,99))</x:f>
      </x:c>
      <x:c r="H109" t="str">
        <x:f>IF(OR(E109="",F109=999),"",LEFT(E109,F109-1))</x:f>
        <x:v>A</x:v>
      </x:c>
      <x:c r="I109" t="n">
        <x:f>IF(MID(E109,F109,1)="-",0.75,IF(MID(E109,F109,1)="^",1,0))</x:f>
        <x:v>1</x:v>
      </x:c>
      <x:c r="J109" t="str">
        <x:f>IF(G109="","",IF(LEN(G109)=1,"=",LEFT(G109,LEN(G109)-1)))</x:f>
      </x:c>
      <x:c r="K109" t="str">
        <x:f>IF(J109="","",IF(LEFT(J109,1)="=",H109,J109))</x:f>
      </x:c>
      <x:c r="L109" t="str">
        <x:f>IF(G109="","",RIGHT(G109,1))</x:f>
      </x:c>
      <x:c r="M109" t="n">
        <x:f>IF(L109="D",5,IF(L109="N",10,IF(L109="I",15,IF(L109="M",40,0))))</x:f>
        <x:v>0</x:v>
      </x:c>
    </x:row>
    <x:row r="110">
      <x:c r="A110" t="str">
        <x:v>james|God</x:v>
      </x:c>
      <x:c r="B110" t="str">
        <x:v>james</x:v>
      </x:c>
      <x:c r="C110" t="str">
        <x:v>God</x:v>
      </x:c>
      <x:c r="D110" t="str">
        <x:f>INDEX(Data!$C$2:$K$22,MATCH(B110,Data!$B$2:$B$22,0),MATCH(C110,Data!$C$1:$K$1,0))</x:f>
        <x:v>N-=D</x:v>
      </x:c>
      <x:c r="E110" t="str">
        <x:f>UPPER(SUBSTITUTE(TRIM(D110),"1","I"))</x:f>
        <x:v>N-=D</x:v>
      </x:c>
      <x:c r="F110" t="n">
        <x:f>MIN(IFERROR(FIND("^",E110),999),IFERROR(FIND("-",E110),999))</x:f>
        <x:v>2</x:v>
      </x:c>
      <x:c r="G110" t="str">
        <x:f>IF(OR(E110="",F110=999,LEN(E110)&lt;=F110),"",MID(E110,F110+1,99))</x:f>
        <x:v>=D</x:v>
      </x:c>
      <x:c r="H110" t="str">
        <x:f>IF(OR(E110="",F110=999),"",LEFT(E110,F110-1))</x:f>
        <x:v>N</x:v>
      </x:c>
      <x:c r="I110" t="n">
        <x:f>IF(MID(E110,F110,1)="-",0.75,IF(MID(E110,F110,1)="^",1,0))</x:f>
        <x:v>0.75</x:v>
      </x:c>
      <x:c r="J110" t="str">
        <x:f>IF(G110="","",IF(LEN(G110)=1,"=",LEFT(G110,LEN(G110)-1)))</x:f>
        <x:v>=</x:v>
      </x:c>
      <x:c r="K110" t="str">
        <x:f>IF(J110="","",IF(LEFT(J110,1)="=",H110,J110))</x:f>
        <x:v>N</x:v>
      </x:c>
      <x:c r="L110" t="str">
        <x:f>IF(G110="","",RIGHT(G110,1))</x:f>
        <x:v>D</x:v>
      </x:c>
      <x:c r="M110" t="n">
        <x:f>IF(L110="D",5,IF(L110="N",10,IF(L110="I",15,IF(L110="M",40,0))))</x:f>
        <x:v>5</x:v>
      </x:c>
    </x:row>
    <x:row r="111">
      <x:c r="A111" t="str">
        <x:v>james|Politics</x:v>
      </x:c>
      <x:c r="B111" t="str">
        <x:v>james</x:v>
      </x:c>
      <x:c r="C111" t="str">
        <x:v>Politics</x:v>
      </x:c>
      <x:c r="D111" t="str">
        <x:f>INDEX(Data!$C$2:$K$22,MATCH(B111,Data!$B$2:$B$22,0),MATCH(C111,Data!$C$1:$K$1,0))</x:f>
        <x:v>L^=M</x:v>
      </x:c>
      <x:c r="E111" t="str">
        <x:f>UPPER(SUBSTITUTE(TRIM(D111),"1","I"))</x:f>
        <x:v>L^=M</x:v>
      </x:c>
      <x:c r="F111" t="n">
        <x:f>MIN(IFERROR(FIND("^",E111),999),IFERROR(FIND("-",E111),999))</x:f>
        <x:v>2</x:v>
      </x:c>
      <x:c r="G111" t="str">
        <x:f>IF(OR(E111="",F111=999,LEN(E111)&lt;=F111),"",MID(E111,F111+1,99))</x:f>
        <x:v>=M</x:v>
      </x:c>
      <x:c r="H111" t="str">
        <x:f>IF(OR(E111="",F111=999),"",LEFT(E111,F111-1))</x:f>
        <x:v>L</x:v>
      </x:c>
      <x:c r="I111" t="n">
        <x:f>IF(MID(E111,F111,1)="-",0.75,IF(MID(E111,F111,1)="^",1,0))</x:f>
        <x:v>1</x:v>
      </x:c>
      <x:c r="J111" t="str">
        <x:f>IF(G111="","",IF(LEN(G111)=1,"=",LEFT(G111,LEN(G111)-1)))</x:f>
        <x:v>=</x:v>
      </x:c>
      <x:c r="K111" t="str">
        <x:f>IF(J111="","",IF(LEFT(J111,1)="=",H111,J111))</x:f>
        <x:v>L</x:v>
      </x:c>
      <x:c r="L111" t="str">
        <x:f>IF(G111="","",RIGHT(G111,1))</x:f>
        <x:v>M</x:v>
      </x:c>
      <x:c r="M111" t="n">
        <x:f>IF(L111="D",5,IF(L111="N",10,IF(L111="I",15,IF(L111="M",40,0))))</x:f>
        <x:v>40</x:v>
      </x:c>
    </x:row>
    <x:row r="112">
      <x:c r="A112" t="str">
        <x:v>james|Marriage</x:v>
      </x:c>
      <x:c r="B112" t="str">
        <x:v>james</x:v>
      </x:c>
      <x:c r="C112" t="str">
        <x:v>Marriage</x:v>
      </x:c>
      <x:c r="D112" t="str">
        <x:f>INDEX(Data!$C$2:$K$22,MATCH(B112,Data!$B$2:$B$22,0),MATCH(C112,Data!$C$1:$K$1,0))</x:f>
        <x:v>L-=D</x:v>
      </x:c>
      <x:c r="E112" t="str">
        <x:f>UPPER(SUBSTITUTE(TRIM(D112),"1","I"))</x:f>
        <x:v>L-=D</x:v>
      </x:c>
      <x:c r="F112" t="n">
        <x:f>MIN(IFERROR(FIND("^",E112),999),IFERROR(FIND("-",E112),999))</x:f>
        <x:v>2</x:v>
      </x:c>
      <x:c r="G112" t="str">
        <x:f>IF(OR(E112="",F112=999,LEN(E112)&lt;=F112),"",MID(E112,F112+1,99))</x:f>
        <x:v>=D</x:v>
      </x:c>
      <x:c r="H112" t="str">
        <x:f>IF(OR(E112="",F112=999),"",LEFT(E112,F112-1))</x:f>
        <x:v>L</x:v>
      </x:c>
      <x:c r="I112" t="n">
        <x:f>IF(MID(E112,F112,1)="-",0.75,IF(MID(E112,F112,1)="^",1,0))</x:f>
        <x:v>0.75</x:v>
      </x:c>
      <x:c r="J112" t="str">
        <x:f>IF(G112="","",IF(LEN(G112)=1,"=",LEFT(G112,LEN(G112)-1)))</x:f>
        <x:v>=</x:v>
      </x:c>
      <x:c r="K112" t="str">
        <x:f>IF(J112="","",IF(LEFT(J112,1)="=",H112,J112))</x:f>
        <x:v>L</x:v>
      </x:c>
      <x:c r="L112" t="str">
        <x:f>IF(G112="","",RIGHT(G112,1))</x:f>
        <x:v>D</x:v>
      </x:c>
      <x:c r="M112" t="n">
        <x:f>IF(L112="D",5,IF(L112="N",10,IF(L112="I",15,IF(L112="M",40,0))))</x:f>
        <x:v>5</x:v>
      </x:c>
    </x:row>
    <x:row r="113">
      <x:c r="A113" t="str">
        <x:v>james|Children</x:v>
      </x:c>
      <x:c r="B113" t="str">
        <x:v>james</x:v>
      </x:c>
      <x:c r="C113" t="str">
        <x:v>Children</x:v>
      </x:c>
      <x:c r="D113" t="str">
        <x:f>INDEX(Data!$C$2:$K$22,MATCH(B113,Data!$B$2:$B$22,0),MATCH(C113,Data!$C$1:$K$1,0))</x:f>
        <x:v>Y-</x:v>
      </x:c>
      <x:c r="E113" t="str">
        <x:f>UPPER(SUBSTITUTE(TRIM(D113),"1","I"))</x:f>
        <x:v>Y-</x:v>
      </x:c>
      <x:c r="F113" t="n">
        <x:f>MIN(IFERROR(FIND("^",E113),999),IFERROR(FIND("-",E113),999))</x:f>
        <x:v>2</x:v>
      </x:c>
      <x:c r="G113" t="str">
        <x:f>IF(OR(E113="",F113=999,LEN(E113)&lt;=F113),"",MID(E113,F113+1,99))</x:f>
      </x:c>
      <x:c r="H113" t="str">
        <x:f>IF(OR(E113="",F113=999),"",LEFT(E113,F113-1))</x:f>
        <x:v>Y</x:v>
      </x:c>
      <x:c r="I113" t="n">
        <x:f>IF(MID(E113,F113,1)="-",0.75,IF(MID(E113,F113,1)="^",1,0))</x:f>
        <x:v>0.75</x:v>
      </x:c>
      <x:c r="J113" t="str">
        <x:f>IF(G113="","",IF(LEN(G113)=1,"=",LEFT(G113,LEN(G113)-1)))</x:f>
      </x:c>
      <x:c r="K113" t="str">
        <x:f>IF(J113="","",IF(LEFT(J113,1)="=",H113,J113))</x:f>
      </x:c>
      <x:c r="L113" t="str">
        <x:f>IF(G113="","",RIGHT(G113,1))</x:f>
      </x:c>
      <x:c r="M113" t="n">
        <x:f>IF(L113="D",5,IF(L113="N",10,IF(L113="I",15,IF(L113="M",40,0))))</x:f>
        <x:v>0</x:v>
      </x:c>
    </x:row>
    <x:row r="114">
      <x:c r="A114" t="str">
        <x:v>james|Ethicity</x:v>
      </x:c>
      <x:c r="B114" t="str">
        <x:v>james</x:v>
      </x:c>
      <x:c r="C114" t="str">
        <x:v>Ethicity</x:v>
      </x:c>
      <x:c r="D114" t="str">
        <x:f>INDEX(Data!$C$2:$K$22,MATCH(B114,Data!$B$2:$B$22,0),MATCH(C114,Data!$C$1:$K$1,0))</x:f>
        <x:v>A^</x:v>
      </x:c>
      <x:c r="E114" t="str">
        <x:f>UPPER(SUBSTITUTE(TRIM(D114),"1","I"))</x:f>
        <x:v>A^</x:v>
      </x:c>
      <x:c r="F114" t="n">
        <x:f>MIN(IFERROR(FIND("^",E114),999),IFERROR(FIND("-",E114),999))</x:f>
        <x:v>2</x:v>
      </x:c>
      <x:c r="G114" t="str">
        <x:f>IF(OR(E114="",F114=999,LEN(E114)&lt;=F114),"",MID(E114,F114+1,99))</x:f>
      </x:c>
      <x:c r="H114" t="str">
        <x:f>IF(OR(E114="",F114=999),"",LEFT(E114,F114-1))</x:f>
        <x:v>A</x:v>
      </x:c>
      <x:c r="I114" t="n">
        <x:f>IF(MID(E114,F114,1)="-",0.75,IF(MID(E114,F114,1)="^",1,0))</x:f>
        <x:v>1</x:v>
      </x:c>
      <x:c r="J114" t="str">
        <x:f>IF(G114="","",IF(LEN(G114)=1,"=",LEFT(G114,LEN(G114)-1)))</x:f>
      </x:c>
      <x:c r="K114" t="str">
        <x:f>IF(J114="","",IF(LEFT(J114,1)="=",H114,J114))</x:f>
      </x:c>
      <x:c r="L114" t="str">
        <x:f>IF(G114="","",RIGHT(G114,1))</x:f>
      </x:c>
      <x:c r="M114" t="n">
        <x:f>IF(L114="D",5,IF(L114="N",10,IF(L114="I",15,IF(L114="M",40,0))))</x:f>
        <x:v>0</x:v>
      </x:c>
    </x:row>
    <x:row r="115">
      <x:c r="A115" t="str">
        <x:v>james|Past</x:v>
      </x:c>
      <x:c r="B115" t="str">
        <x:v>james</x:v>
      </x:c>
      <x:c r="C115" t="str">
        <x:v>Past</x:v>
      </x:c>
      <x:c r="D115" t="str">
        <x:f>INDEX(Data!$C$2:$K$22,MATCH(B115,Data!$B$2:$B$22,0),MATCH(C115,Data!$C$1:$K$1,0))</x:f>
        <x:v>N-</x:v>
      </x:c>
      <x:c r="E115" t="str">
        <x:f>UPPER(SUBSTITUTE(TRIM(D115),"1","I"))</x:f>
        <x:v>N-</x:v>
      </x:c>
      <x:c r="F115" t="n">
        <x:f>MIN(IFERROR(FIND("^",E115),999),IFERROR(FIND("-",E115),999))</x:f>
        <x:v>2</x:v>
      </x:c>
      <x:c r="G115" t="str">
        <x:f>IF(OR(E115="",F115=999,LEN(E115)&lt;=F115),"",MID(E115,F115+1,99))</x:f>
      </x:c>
      <x:c r="H115" t="str">
        <x:f>IF(OR(E115="",F115=999),"",LEFT(E115,F115-1))</x:f>
        <x:v>N</x:v>
      </x:c>
      <x:c r="I115" t="n">
        <x:f>IF(MID(E115,F115,1)="-",0.75,IF(MID(E115,F115,1)="^",1,0))</x:f>
        <x:v>0.75</x:v>
      </x:c>
      <x:c r="J115" t="str">
        <x:f>IF(G115="","",IF(LEN(G115)=1,"=",LEFT(G115,LEN(G115)-1)))</x:f>
      </x:c>
      <x:c r="K115" t="str">
        <x:f>IF(J115="","",IF(LEFT(J115,1)="=",H115,J115))</x:f>
      </x:c>
      <x:c r="L115" t="str">
        <x:f>IF(G115="","",RIGHT(G115,1))</x:f>
      </x:c>
      <x:c r="M115" t="n">
        <x:f>IF(L115="D",5,IF(L115="N",10,IF(L115="I",15,IF(L115="M",40,0))))</x:f>
        <x:v>0</x:v>
      </x:c>
    </x:row>
    <x:row r="116">
      <x:c r="A116" t="str">
        <x:v>james|D/S</x:v>
      </x:c>
      <x:c r="B116" t="str">
        <x:v>james</x:v>
      </x:c>
      <x:c r="C116" t="str">
        <x:v>D/S</x:v>
      </x:c>
      <x:c r="D116" t="str">
        <x:f>INDEX(Data!$C$2:$K$22,MATCH(B116,Data!$B$2:$B$22,0),MATCH(C116,Data!$C$1:$K$1,0))</x:f>
        <x:v>D-SI</x:v>
      </x:c>
      <x:c r="E116" t="str">
        <x:f>UPPER(SUBSTITUTE(TRIM(D116),"1","I"))</x:f>
        <x:v>D-SI</x:v>
      </x:c>
      <x:c r="F116" t="n">
        <x:f>MIN(IFERROR(FIND("^",E116),999),IFERROR(FIND("-",E116),999))</x:f>
        <x:v>2</x:v>
      </x:c>
      <x:c r="G116" t="str">
        <x:f>IF(OR(E116="",F116=999,LEN(E116)&lt;=F116),"",MID(E116,F116+1,99))</x:f>
        <x:v>SI</x:v>
      </x:c>
      <x:c r="H116" t="str">
        <x:f>IF(OR(E116="",F116=999),"",LEFT(E116,F116-1))</x:f>
        <x:v>D</x:v>
      </x:c>
      <x:c r="I116" t="n">
        <x:f>IF(MID(E116,F116,1)="-",0.75,IF(MID(E116,F116,1)="^",1,0))</x:f>
        <x:v>0.75</x:v>
      </x:c>
      <x:c r="J116" t="str">
        <x:f>IF(G116="","",IF(LEN(G116)=1,"=",LEFT(G116,LEN(G116)-1)))</x:f>
        <x:v>S</x:v>
      </x:c>
      <x:c r="K116" t="str">
        <x:f>IF(J116="","",IF(LEFT(J116,1)="=",H116,J116))</x:f>
        <x:v>S</x:v>
      </x:c>
      <x:c r="L116" t="str">
        <x:f>IF(G116="","",RIGHT(G116,1))</x:f>
        <x:v>I</x:v>
      </x:c>
      <x:c r="M116" t="n">
        <x:f>IF(L116="D",5,IF(L116="N",10,IF(L116="I",15,IF(L116="M",40,0))))</x:f>
        <x:v>15</x:v>
      </x:c>
    </x:row>
    <x:row r="117">
      <x:c r="A117" t="str">
        <x:v>james|True/kind</x:v>
      </x:c>
      <x:c r="B117" t="str">
        <x:v>james</x:v>
      </x:c>
      <x:c r="C117" t="str">
        <x:v>True/kind</x:v>
      </x:c>
      <x:c r="D117" t="str">
        <x:f>INDEX(Data!$C$2:$K$22,MATCH(B117,Data!$B$2:$B$22,0),MATCH(C117,Data!$C$1:$K$1,0))</x:f>
        <x:v>T-=I</x:v>
      </x:c>
      <x:c r="E117" t="str">
        <x:f>UPPER(SUBSTITUTE(TRIM(D117),"1","I"))</x:f>
        <x:v>T-=I</x:v>
      </x:c>
      <x:c r="F117" t="n">
        <x:f>MIN(IFERROR(FIND("^",E117),999),IFERROR(FIND("-",E117),999))</x:f>
        <x:v>2</x:v>
      </x:c>
      <x:c r="G117" t="str">
        <x:f>IF(OR(E117="",F117=999,LEN(E117)&lt;=F117),"",MID(E117,F117+1,99))</x:f>
        <x:v>=I</x:v>
      </x:c>
      <x:c r="H117" t="str">
        <x:f>IF(OR(E117="",F117=999),"",LEFT(E117,F117-1))</x:f>
        <x:v>T</x:v>
      </x:c>
      <x:c r="I117" t="n">
        <x:f>IF(MID(E117,F117,1)="-",0.75,IF(MID(E117,F117,1)="^",1,0))</x:f>
        <x:v>0.75</x:v>
      </x:c>
      <x:c r="J117" t="str">
        <x:f>IF(G117="","",IF(LEN(G117)=1,"=",LEFT(G117,LEN(G117)-1)))</x:f>
        <x:v>=</x:v>
      </x:c>
      <x:c r="K117" t="str">
        <x:f>IF(J117="","",IF(LEFT(J117,1)="=",H117,J117))</x:f>
        <x:v>T</x:v>
      </x:c>
      <x:c r="L117" t="str">
        <x:f>IF(G117="","",RIGHT(G117,1))</x:f>
        <x:v>I</x:v>
      </x:c>
      <x:c r="M117" t="n">
        <x:f>IF(L117="D",5,IF(L117="N",10,IF(L117="I",15,IF(L117="M",40,0))))</x:f>
        <x:v>15</x:v>
      </x:c>
    </x:row>
    <x:row r="118">
      <x:c r="A118" t="str">
        <x:v>james|Animal</x:v>
      </x:c>
      <x:c r="B118" t="str">
        <x:v>james</x:v>
      </x:c>
      <x:c r="C118" t="str">
        <x:v>Animal</x:v>
      </x:c>
      <x:c r="D118" t="str">
        <x:f>INDEX(Data!$C$2:$K$22,MATCH(B118,Data!$B$2:$B$22,0),MATCH(C118,Data!$C$1:$K$1,0))</x:f>
        <x:v>A-=N</x:v>
      </x:c>
      <x:c r="E118" t="str">
        <x:f>UPPER(SUBSTITUTE(TRIM(D118),"1","I"))</x:f>
        <x:v>A-=N</x:v>
      </x:c>
      <x:c r="F118" t="n">
        <x:f>MIN(IFERROR(FIND("^",E118),999),IFERROR(FIND("-",E118),999))</x:f>
        <x:v>2</x:v>
      </x:c>
      <x:c r="G118" t="str">
        <x:f>IF(OR(E118="",F118=999,LEN(E118)&lt;=F118),"",MID(E118,F118+1,99))</x:f>
        <x:v>=N</x:v>
      </x:c>
      <x:c r="H118" t="str">
        <x:f>IF(OR(E118="",F118=999),"",LEFT(E118,F118-1))</x:f>
        <x:v>A</x:v>
      </x:c>
      <x:c r="I118" t="n">
        <x:f>IF(MID(E118,F118,1)="-",0.75,IF(MID(E118,F118,1)="^",1,0))</x:f>
        <x:v>0.75</x:v>
      </x:c>
      <x:c r="J118" t="str">
        <x:f>IF(G118="","",IF(LEN(G118)=1,"=",LEFT(G118,LEN(G118)-1)))</x:f>
        <x:v>=</x:v>
      </x:c>
      <x:c r="K118" t="str">
        <x:f>IF(J118="","",IF(LEFT(J118,1)="=",H118,J118))</x:f>
        <x:v>A</x:v>
      </x:c>
      <x:c r="L118" t="str">
        <x:f>IF(G118="","",RIGHT(G118,1))</x:f>
        <x:v>N</x:v>
      </x:c>
      <x:c r="M118" t="n">
        <x:f>IF(L118="D",5,IF(L118="N",10,IF(L118="I",15,IF(L118="M",40,0))))</x:f>
        <x:v>10</x:v>
      </x:c>
    </x:row>
    <x:row r="119">
      <x:c r="A119" t="str">
        <x:v>ayaan|God</x:v>
      </x:c>
      <x:c r="B119" t="str">
        <x:v>ayaan</x:v>
      </x:c>
      <x:c r="C119" t="str">
        <x:v>God</x:v>
      </x:c>
      <x:c r="D119" t="str">
        <x:f>INDEX(Data!$C$2:$K$22,MATCH(B119,Data!$B$2:$B$22,0),MATCH(C119,Data!$C$1:$K$1,0))</x:f>
        <x:v>N^=N</x:v>
      </x:c>
      <x:c r="E119" t="str">
        <x:f>UPPER(SUBSTITUTE(TRIM(D119),"1","I"))</x:f>
        <x:v>N^=N</x:v>
      </x:c>
      <x:c r="F119" t="n">
        <x:f>MIN(IFERROR(FIND("^",E119),999),IFERROR(FIND("-",E119),999))</x:f>
        <x:v>2</x:v>
      </x:c>
      <x:c r="G119" t="str">
        <x:f>IF(OR(E119="",F119=999,LEN(E119)&lt;=F119),"",MID(E119,F119+1,99))</x:f>
        <x:v>=N</x:v>
      </x:c>
      <x:c r="H119" t="str">
        <x:f>IF(OR(E119="",F119=999),"",LEFT(E119,F119-1))</x:f>
        <x:v>N</x:v>
      </x:c>
      <x:c r="I119" t="n">
        <x:f>IF(MID(E119,F119,1)="-",0.75,IF(MID(E119,F119,1)="^",1,0))</x:f>
        <x:v>1</x:v>
      </x:c>
      <x:c r="J119" t="str">
        <x:f>IF(G119="","",IF(LEN(G119)=1,"=",LEFT(G119,LEN(G119)-1)))</x:f>
        <x:v>=</x:v>
      </x:c>
      <x:c r="K119" t="str">
        <x:f>IF(J119="","",IF(LEFT(J119,1)="=",H119,J119))</x:f>
        <x:v>N</x:v>
      </x:c>
      <x:c r="L119" t="str">
        <x:f>IF(G119="","",RIGHT(G119,1))</x:f>
        <x:v>N</x:v>
      </x:c>
      <x:c r="M119" t="n">
        <x:f>IF(L119="D",5,IF(L119="N",10,IF(L119="I",15,IF(L119="M",40,0))))</x:f>
        <x:v>10</x:v>
      </x:c>
    </x:row>
    <x:row r="120">
      <x:c r="A120" t="str">
        <x:v>ayaan|Politics</x:v>
      </x:c>
      <x:c r="B120" t="str">
        <x:v>ayaan</x:v>
      </x:c>
      <x:c r="C120" t="str">
        <x:v>Politics</x:v>
      </x:c>
      <x:c r="D120" t="str">
        <x:f>INDEX(Data!$C$2:$K$22,MATCH(B120,Data!$B$2:$B$22,0),MATCH(C120,Data!$C$1:$K$1,0))</x:f>
        <x:v>L^=M</x:v>
      </x:c>
      <x:c r="E120" t="str">
        <x:f>UPPER(SUBSTITUTE(TRIM(D120),"1","I"))</x:f>
        <x:v>L^=M</x:v>
      </x:c>
      <x:c r="F120" t="n">
        <x:f>MIN(IFERROR(FIND("^",E120),999),IFERROR(FIND("-",E120),999))</x:f>
        <x:v>2</x:v>
      </x:c>
      <x:c r="G120" t="str">
        <x:f>IF(OR(E120="",F120=999,LEN(E120)&lt;=F120),"",MID(E120,F120+1,99))</x:f>
        <x:v>=M</x:v>
      </x:c>
      <x:c r="H120" t="str">
        <x:f>IF(OR(E120="",F120=999),"",LEFT(E120,F120-1))</x:f>
        <x:v>L</x:v>
      </x:c>
      <x:c r="I120" t="n">
        <x:f>IF(MID(E120,F120,1)="-",0.75,IF(MID(E120,F120,1)="^",1,0))</x:f>
        <x:v>1</x:v>
      </x:c>
      <x:c r="J120" t="str">
        <x:f>IF(G120="","",IF(LEN(G120)=1,"=",LEFT(G120,LEN(G120)-1)))</x:f>
        <x:v>=</x:v>
      </x:c>
      <x:c r="K120" t="str">
        <x:f>IF(J120="","",IF(LEFT(J120,1)="=",H120,J120))</x:f>
        <x:v>L</x:v>
      </x:c>
      <x:c r="L120" t="str">
        <x:f>IF(G120="","",RIGHT(G120,1))</x:f>
        <x:v>M</x:v>
      </x:c>
      <x:c r="M120" t="n">
        <x:f>IF(L120="D",5,IF(L120="N",10,IF(L120="I",15,IF(L120="M",40,0))))</x:f>
        <x:v>40</x:v>
      </x:c>
    </x:row>
    <x:row r="121">
      <x:c r="A121" t="str">
        <x:v>ayaan|Marriage</x:v>
      </x:c>
      <x:c r="B121" t="str">
        <x:v>ayaan</x:v>
      </x:c>
      <x:c r="C121" t="str">
        <x:v>Marriage</x:v>
      </x:c>
      <x:c r="D121" t="str">
        <x:f>INDEX(Data!$C$2:$K$22,MATCH(B121,Data!$B$2:$B$22,0),MATCH(C121,Data!$C$1:$K$1,0))</x:f>
        <x:v>L^=I</x:v>
      </x:c>
      <x:c r="E121" t="str">
        <x:f>UPPER(SUBSTITUTE(TRIM(D121),"1","I"))</x:f>
        <x:v>L^=I</x:v>
      </x:c>
      <x:c r="F121" t="n">
        <x:f>MIN(IFERROR(FIND("^",E121),999),IFERROR(FIND("-",E121),999))</x:f>
        <x:v>2</x:v>
      </x:c>
      <x:c r="G121" t="str">
        <x:f>IF(OR(E121="",F121=999,LEN(E121)&lt;=F121),"",MID(E121,F121+1,99))</x:f>
        <x:v>=I</x:v>
      </x:c>
      <x:c r="H121" t="str">
        <x:f>IF(OR(E121="",F121=999),"",LEFT(E121,F121-1))</x:f>
        <x:v>L</x:v>
      </x:c>
      <x:c r="I121" t="n">
        <x:f>IF(MID(E121,F121,1)="-",0.75,IF(MID(E121,F121,1)="^",1,0))</x:f>
        <x:v>1</x:v>
      </x:c>
      <x:c r="J121" t="str">
        <x:f>IF(G121="","",IF(LEN(G121)=1,"=",LEFT(G121,LEN(G121)-1)))</x:f>
        <x:v>=</x:v>
      </x:c>
      <x:c r="K121" t="str">
        <x:f>IF(J121="","",IF(LEFT(J121,1)="=",H121,J121))</x:f>
        <x:v>L</x:v>
      </x:c>
      <x:c r="L121" t="str">
        <x:f>IF(G121="","",RIGHT(G121,1))</x:f>
        <x:v>I</x:v>
      </x:c>
      <x:c r="M121" t="n">
        <x:f>IF(L121="D",5,IF(L121="N",10,IF(L121="I",15,IF(L121="M",40,0))))</x:f>
        <x:v>15</x:v>
      </x:c>
    </x:row>
    <x:row r="122">
      <x:c r="A122" t="str">
        <x:v>ayaan|Children</x:v>
      </x:c>
      <x:c r="B122" t="str">
        <x:v>ayaan</x:v>
      </x:c>
      <x:c r="C122" t="str">
        <x:v>Children</x:v>
      </x:c>
      <x:c r="D122" t="str">
        <x:f>INDEX(Data!$C$2:$K$22,MATCH(B122,Data!$B$2:$B$22,0),MATCH(C122,Data!$C$1:$K$1,0))</x:f>
        <x:v>Y-</x:v>
      </x:c>
      <x:c r="E122" t="str">
        <x:f>UPPER(SUBSTITUTE(TRIM(D122),"1","I"))</x:f>
        <x:v>Y-</x:v>
      </x:c>
      <x:c r="F122" t="n">
        <x:f>MIN(IFERROR(FIND("^",E122),999),IFERROR(FIND("-",E122),999))</x:f>
        <x:v>2</x:v>
      </x:c>
      <x:c r="G122" t="str">
        <x:f>IF(OR(E122="",F122=999,LEN(E122)&lt;=F122),"",MID(E122,F122+1,99))</x:f>
      </x:c>
      <x:c r="H122" t="str">
        <x:f>IF(OR(E122="",F122=999),"",LEFT(E122,F122-1))</x:f>
        <x:v>Y</x:v>
      </x:c>
      <x:c r="I122" t="n">
        <x:f>IF(MID(E122,F122,1)="-",0.75,IF(MID(E122,F122,1)="^",1,0))</x:f>
        <x:v>0.75</x:v>
      </x:c>
      <x:c r="J122" t="str">
        <x:f>IF(G122="","",IF(LEN(G122)=1,"=",LEFT(G122,LEN(G122)-1)))</x:f>
      </x:c>
      <x:c r="K122" t="str">
        <x:f>IF(J122="","",IF(LEFT(J122,1)="=",H122,J122))</x:f>
      </x:c>
      <x:c r="L122" t="str">
        <x:f>IF(G122="","",RIGHT(G122,1))</x:f>
      </x:c>
      <x:c r="M122" t="n">
        <x:f>IF(L122="D",5,IF(L122="N",10,IF(L122="I",15,IF(L122="M",40,0))))</x:f>
        <x:v>0</x:v>
      </x:c>
    </x:row>
    <x:row r="123">
      <x:c r="A123" t="str">
        <x:v>ayaan|Ethicity</x:v>
      </x:c>
      <x:c r="B123" t="str">
        <x:v>ayaan</x:v>
      </x:c>
      <x:c r="C123" t="str">
        <x:v>Ethicity</x:v>
      </x:c>
      <x:c r="D123" t="str">
        <x:f>INDEX(Data!$C$2:$K$22,MATCH(B123,Data!$B$2:$B$22,0),MATCH(C123,Data!$C$1:$K$1,0))</x:f>
        <x:v>I^</x:v>
      </x:c>
      <x:c r="E123" t="str">
        <x:f>UPPER(SUBSTITUTE(TRIM(D123),"1","I"))</x:f>
        <x:v>I^</x:v>
      </x:c>
      <x:c r="F123" t="n">
        <x:f>MIN(IFERROR(FIND("^",E123),999),IFERROR(FIND("-",E123),999))</x:f>
        <x:v>2</x:v>
      </x:c>
      <x:c r="G123" t="str">
        <x:f>IF(OR(E123="",F123=999,LEN(E123)&lt;=F123),"",MID(E123,F123+1,99))</x:f>
      </x:c>
      <x:c r="H123" t="str">
        <x:f>IF(OR(E123="",F123=999),"",LEFT(E123,F123-1))</x:f>
        <x:v>I</x:v>
      </x:c>
      <x:c r="I123" t="n">
        <x:f>IF(MID(E123,F123,1)="-",0.75,IF(MID(E123,F123,1)="^",1,0))</x:f>
        <x:v>1</x:v>
      </x:c>
      <x:c r="J123" t="str">
        <x:f>IF(G123="","",IF(LEN(G123)=1,"=",LEFT(G123,LEN(G123)-1)))</x:f>
      </x:c>
      <x:c r="K123" t="str">
        <x:f>IF(J123="","",IF(LEFT(J123,1)="=",H123,J123))</x:f>
      </x:c>
      <x:c r="L123" t="str">
        <x:f>IF(G123="","",RIGHT(G123,1))</x:f>
      </x:c>
      <x:c r="M123" t="n">
        <x:f>IF(L123="D",5,IF(L123="N",10,IF(L123="I",15,IF(L123="M",40,0))))</x:f>
        <x:v>0</x:v>
      </x:c>
    </x:row>
    <x:row r="124">
      <x:c r="A124" t="str">
        <x:v>ayaan|Past</x:v>
      </x:c>
      <x:c r="B124" t="str">
        <x:v>ayaan</x:v>
      </x:c>
      <x:c r="C124" t="str">
        <x:v>Past</x:v>
      </x:c>
      <x:c r="D124" t="str">
        <x:f>INDEX(Data!$C$2:$K$22,MATCH(B124,Data!$B$2:$B$22,0),MATCH(C124,Data!$C$1:$K$1,0))</x:f>
        <x:v>Y^NI</x:v>
      </x:c>
      <x:c r="E124" t="str">
        <x:f>UPPER(SUBSTITUTE(TRIM(D124),"1","I"))</x:f>
        <x:v>Y^NI</x:v>
      </x:c>
      <x:c r="F124" t="n">
        <x:f>MIN(IFERROR(FIND("^",E124),999),IFERROR(FIND("-",E124),999))</x:f>
        <x:v>2</x:v>
      </x:c>
      <x:c r="G124" t="str">
        <x:f>IF(OR(E124="",F124=999,LEN(E124)&lt;=F124),"",MID(E124,F124+1,99))</x:f>
        <x:v>NI</x:v>
      </x:c>
      <x:c r="H124" t="str">
        <x:f>IF(OR(E124="",F124=999),"",LEFT(E124,F124-1))</x:f>
        <x:v>Y</x:v>
      </x:c>
      <x:c r="I124" t="n">
        <x:f>IF(MID(E124,F124,1)="-",0.75,IF(MID(E124,F124,1)="^",1,0))</x:f>
        <x:v>1</x:v>
      </x:c>
      <x:c r="J124" t="str">
        <x:f>IF(G124="","",IF(LEN(G124)=1,"=",LEFT(G124,LEN(G124)-1)))</x:f>
        <x:v>N</x:v>
      </x:c>
      <x:c r="K124" t="str">
        <x:f>IF(J124="","",IF(LEFT(J124,1)="=",H124,J124))</x:f>
        <x:v>N</x:v>
      </x:c>
      <x:c r="L124" t="str">
        <x:f>IF(G124="","",RIGHT(G124,1))</x:f>
        <x:v>I</x:v>
      </x:c>
      <x:c r="M124" t="n">
        <x:f>IF(L124="D",5,IF(L124="N",10,IF(L124="I",15,IF(L124="M",40,0))))</x:f>
        <x:v>15</x:v>
      </x:c>
    </x:row>
    <x:row r="125">
      <x:c r="A125" t="str">
        <x:v>ayaan|D/S</x:v>
      </x:c>
      <x:c r="B125" t="str">
        <x:v>ayaan</x:v>
      </x:c>
      <x:c r="C125" t="str">
        <x:v>D/S</x:v>
      </x:c>
      <x:c r="D125" t="str">
        <x:f>INDEX(Data!$C$2:$K$22,MATCH(B125,Data!$B$2:$B$22,0),MATCH(C125,Data!$C$1:$K$1,0))</x:f>
        <x:v>D^=N</x:v>
      </x:c>
      <x:c r="E125" t="str">
        <x:f>UPPER(SUBSTITUTE(TRIM(D125),"1","I"))</x:f>
        <x:v>D^=N</x:v>
      </x:c>
      <x:c r="F125" t="n">
        <x:f>MIN(IFERROR(FIND("^",E125),999),IFERROR(FIND("-",E125),999))</x:f>
        <x:v>2</x:v>
      </x:c>
      <x:c r="G125" t="str">
        <x:f>IF(OR(E125="",F125=999,LEN(E125)&lt;=F125),"",MID(E125,F125+1,99))</x:f>
        <x:v>=N</x:v>
      </x:c>
      <x:c r="H125" t="str">
        <x:f>IF(OR(E125="",F125=999),"",LEFT(E125,F125-1))</x:f>
        <x:v>D</x:v>
      </x:c>
      <x:c r="I125" t="n">
        <x:f>IF(MID(E125,F125,1)="-",0.75,IF(MID(E125,F125,1)="^",1,0))</x:f>
        <x:v>1</x:v>
      </x:c>
      <x:c r="J125" t="str">
        <x:f>IF(G125="","",IF(LEN(G125)=1,"=",LEFT(G125,LEN(G125)-1)))</x:f>
        <x:v>=</x:v>
      </x:c>
      <x:c r="K125" t="str">
        <x:f>IF(J125="","",IF(LEFT(J125,1)="=",H125,J125))</x:f>
        <x:v>D</x:v>
      </x:c>
      <x:c r="L125" t="str">
        <x:f>IF(G125="","",RIGHT(G125,1))</x:f>
        <x:v>N</x:v>
      </x:c>
      <x:c r="M125" t="n">
        <x:f>IF(L125="D",5,IF(L125="N",10,IF(L125="I",15,IF(L125="M",40,0))))</x:f>
        <x:v>10</x:v>
      </x:c>
    </x:row>
    <x:row r="126">
      <x:c r="A126" t="str">
        <x:v>ayaan|True/kind</x:v>
      </x:c>
      <x:c r="B126" t="str">
        <x:v>ayaan</x:v>
      </x:c>
      <x:c r="C126" t="str">
        <x:v>True/kind</x:v>
      </x:c>
      <x:c r="D126" t="str">
        <x:f>INDEX(Data!$C$2:$K$22,MATCH(B126,Data!$B$2:$B$22,0),MATCH(C126,Data!$C$1:$K$1,0))</x:f>
        <x:v>T-=D</x:v>
      </x:c>
      <x:c r="E126" t="str">
        <x:f>UPPER(SUBSTITUTE(TRIM(D126),"1","I"))</x:f>
        <x:v>T-=D</x:v>
      </x:c>
      <x:c r="F126" t="n">
        <x:f>MIN(IFERROR(FIND("^",E126),999),IFERROR(FIND("-",E126),999))</x:f>
        <x:v>2</x:v>
      </x:c>
      <x:c r="G126" t="str">
        <x:f>IF(OR(E126="",F126=999,LEN(E126)&lt;=F126),"",MID(E126,F126+1,99))</x:f>
        <x:v>=D</x:v>
      </x:c>
      <x:c r="H126" t="str">
        <x:f>IF(OR(E126="",F126=999),"",LEFT(E126,F126-1))</x:f>
        <x:v>T</x:v>
      </x:c>
      <x:c r="I126" t="n">
        <x:f>IF(MID(E126,F126,1)="-",0.75,IF(MID(E126,F126,1)="^",1,0))</x:f>
        <x:v>0.75</x:v>
      </x:c>
      <x:c r="J126" t="str">
        <x:f>IF(G126="","",IF(LEN(G126)=1,"=",LEFT(G126,LEN(G126)-1)))</x:f>
        <x:v>=</x:v>
      </x:c>
      <x:c r="K126" t="str">
        <x:f>IF(J126="","",IF(LEFT(J126,1)="=",H126,J126))</x:f>
        <x:v>T</x:v>
      </x:c>
      <x:c r="L126" t="str">
        <x:f>IF(G126="","",RIGHT(G126,1))</x:f>
        <x:v>D</x:v>
      </x:c>
      <x:c r="M126" t="n">
        <x:f>IF(L126="D",5,IF(L126="N",10,IF(L126="I",15,IF(L126="M",40,0))))</x:f>
        <x:v>5</x:v>
      </x:c>
    </x:row>
    <x:row r="127">
      <x:c r="A127" t="str">
        <x:v>ayaan|Animal</x:v>
      </x:c>
      <x:c r="B127" t="str">
        <x:v>ayaan</x:v>
      </x:c>
      <x:c r="C127" t="str">
        <x:v>Animal</x:v>
      </x:c>
      <x:c r="D127" t="str">
        <x:f>INDEX(Data!$C$2:$K$22,MATCH(B127,Data!$B$2:$B$22,0),MATCH(C127,Data!$C$1:$K$1,0))</x:f>
        <x:v>A^=D</x:v>
      </x:c>
      <x:c r="E127" t="str">
        <x:f>UPPER(SUBSTITUTE(TRIM(D127),"1","I"))</x:f>
        <x:v>A^=D</x:v>
      </x:c>
      <x:c r="F127" t="n">
        <x:f>MIN(IFERROR(FIND("^",E127),999),IFERROR(FIND("-",E127),999))</x:f>
        <x:v>2</x:v>
      </x:c>
      <x:c r="G127" t="str">
        <x:f>IF(OR(E127="",F127=999,LEN(E127)&lt;=F127),"",MID(E127,F127+1,99))</x:f>
        <x:v>=D</x:v>
      </x:c>
      <x:c r="H127" t="str">
        <x:f>IF(OR(E127="",F127=999),"",LEFT(E127,F127-1))</x:f>
        <x:v>A</x:v>
      </x:c>
      <x:c r="I127" t="n">
        <x:f>IF(MID(E127,F127,1)="-",0.75,IF(MID(E127,F127,1)="^",1,0))</x:f>
        <x:v>1</x:v>
      </x:c>
      <x:c r="J127" t="str">
        <x:f>IF(G127="","",IF(LEN(G127)=1,"=",LEFT(G127,LEN(G127)-1)))</x:f>
        <x:v>=</x:v>
      </x:c>
      <x:c r="K127" t="str">
        <x:f>IF(J127="","",IF(LEFT(J127,1)="=",H127,J127))</x:f>
        <x:v>A</x:v>
      </x:c>
      <x:c r="L127" t="str">
        <x:f>IF(G127="","",RIGHT(G127,1))</x:f>
        <x:v>D</x:v>
      </x:c>
      <x:c r="M127" t="n">
        <x:f>IF(L127="D",5,IF(L127="N",10,IF(L127="I",15,IF(L127="M",40,0))))</x:f>
        <x:v>5</x:v>
      </x:c>
    </x:row>
    <x:row r="128">
      <x:c r="A128" t="str">
        <x:v>jasmine|God</x:v>
      </x:c>
      <x:c r="B128" t="str">
        <x:v>jasmine</x:v>
      </x:c>
      <x:c r="C128" t="str">
        <x:v>God</x:v>
      </x:c>
      <x:c r="D128" t="str">
        <x:f>INDEX(Data!$C$2:$K$22,MATCH(B128,Data!$B$2:$B$22,0),MATCH(C128,Data!$C$1:$K$1,0))</x:f>
        <x:v>Y^=M</x:v>
      </x:c>
      <x:c r="E128" t="str">
        <x:f>UPPER(SUBSTITUTE(TRIM(D128),"1","I"))</x:f>
        <x:v>Y^=M</x:v>
      </x:c>
      <x:c r="F128" t="n">
        <x:f>MIN(IFERROR(FIND("^",E128),999),IFERROR(FIND("-",E128),999))</x:f>
        <x:v>2</x:v>
      </x:c>
      <x:c r="G128" t="str">
        <x:f>IF(OR(E128="",F128=999,LEN(E128)&lt;=F128),"",MID(E128,F128+1,99))</x:f>
        <x:v>=M</x:v>
      </x:c>
      <x:c r="H128" t="str">
        <x:f>IF(OR(E128="",F128=999),"",LEFT(E128,F128-1))</x:f>
        <x:v>Y</x:v>
      </x:c>
      <x:c r="I128" t="n">
        <x:f>IF(MID(E128,F128,1)="-",0.75,IF(MID(E128,F128,1)="^",1,0))</x:f>
        <x:v>1</x:v>
      </x:c>
      <x:c r="J128" t="str">
        <x:f>IF(G128="","",IF(LEN(G128)=1,"=",LEFT(G128,LEN(G128)-1)))</x:f>
        <x:v>=</x:v>
      </x:c>
      <x:c r="K128" t="str">
        <x:f>IF(J128="","",IF(LEFT(J128,1)="=",H128,J128))</x:f>
        <x:v>Y</x:v>
      </x:c>
      <x:c r="L128" t="str">
        <x:f>IF(G128="","",RIGHT(G128,1))</x:f>
        <x:v>M</x:v>
      </x:c>
      <x:c r="M128" t="n">
        <x:f>IF(L128="D",5,IF(L128="N",10,IF(L128="I",15,IF(L128="M",40,0))))</x:f>
        <x:v>40</x:v>
      </x:c>
    </x:row>
    <x:row r="129">
      <x:c r="A129" t="str">
        <x:v>jasmine|Politics</x:v>
      </x:c>
      <x:c r="B129" t="str">
        <x:v>jasmine</x:v>
      </x:c>
      <x:c r="C129" t="str">
        <x:v>Politics</x:v>
      </x:c>
      <x:c r="D129" t="str">
        <x:f>INDEX(Data!$C$2:$K$22,MATCH(B129,Data!$B$2:$B$22,0),MATCH(C129,Data!$C$1:$K$1,0))</x:f>
        <x:v>R-=I</x:v>
      </x:c>
      <x:c r="E129" t="str">
        <x:f>UPPER(SUBSTITUTE(TRIM(D129),"1","I"))</x:f>
        <x:v>R-=I</x:v>
      </x:c>
      <x:c r="F129" t="n">
        <x:f>MIN(IFERROR(FIND("^",E129),999),IFERROR(FIND("-",E129),999))</x:f>
        <x:v>2</x:v>
      </x:c>
      <x:c r="G129" t="str">
        <x:f>IF(OR(E129="",F129=999,LEN(E129)&lt;=F129),"",MID(E129,F129+1,99))</x:f>
        <x:v>=I</x:v>
      </x:c>
      <x:c r="H129" t="str">
        <x:f>IF(OR(E129="",F129=999),"",LEFT(E129,F129-1))</x:f>
        <x:v>R</x:v>
      </x:c>
      <x:c r="I129" t="n">
        <x:f>IF(MID(E129,F129,1)="-",0.75,IF(MID(E129,F129,1)="^",1,0))</x:f>
        <x:v>0.75</x:v>
      </x:c>
      <x:c r="J129" t="str">
        <x:f>IF(G129="","",IF(LEN(G129)=1,"=",LEFT(G129,LEN(G129)-1)))</x:f>
        <x:v>=</x:v>
      </x:c>
      <x:c r="K129" t="str">
        <x:f>IF(J129="","",IF(LEFT(J129,1)="=",H129,J129))</x:f>
        <x:v>R</x:v>
      </x:c>
      <x:c r="L129" t="str">
        <x:f>IF(G129="","",RIGHT(G129,1))</x:f>
        <x:v>I</x:v>
      </x:c>
      <x:c r="M129" t="n">
        <x:f>IF(L129="D",5,IF(L129="N",10,IF(L129="I",15,IF(L129="M",40,0))))</x:f>
        <x:v>15</x:v>
      </x:c>
    </x:row>
    <x:row r="130">
      <x:c r="A130" t="str">
        <x:v>jasmine|Marriage</x:v>
      </x:c>
      <x:c r="B130" t="str">
        <x:v>jasmine</x:v>
      </x:c>
      <x:c r="C130" t="str">
        <x:v>Marriage</x:v>
      </x:c>
      <x:c r="D130" t="str">
        <x:f>INDEX(Data!$C$2:$K$22,MATCH(B130,Data!$B$2:$B$22,0),MATCH(C130,Data!$C$1:$K$1,0))</x:f>
        <x:v>S^=I</x:v>
      </x:c>
      <x:c r="E130" t="str">
        <x:f>UPPER(SUBSTITUTE(TRIM(D130),"1","I"))</x:f>
        <x:v>S^=I</x:v>
      </x:c>
      <x:c r="F130" t="n">
        <x:f>MIN(IFERROR(FIND("^",E130),999),IFERROR(FIND("-",E130),999))</x:f>
        <x:v>2</x:v>
      </x:c>
      <x:c r="G130" t="str">
        <x:f>IF(OR(E130="",F130=999,LEN(E130)&lt;=F130),"",MID(E130,F130+1,99))</x:f>
        <x:v>=I</x:v>
      </x:c>
      <x:c r="H130" t="str">
        <x:f>IF(OR(E130="",F130=999),"",LEFT(E130,F130-1))</x:f>
        <x:v>S</x:v>
      </x:c>
      <x:c r="I130" t="n">
        <x:f>IF(MID(E130,F130,1)="-",0.75,IF(MID(E130,F130,1)="^",1,0))</x:f>
        <x:v>1</x:v>
      </x:c>
      <x:c r="J130" t="str">
        <x:f>IF(G130="","",IF(LEN(G130)=1,"=",LEFT(G130,LEN(G130)-1)))</x:f>
        <x:v>=</x:v>
      </x:c>
      <x:c r="K130" t="str">
        <x:f>IF(J130="","",IF(LEFT(J130,1)="=",H130,J130))</x:f>
        <x:v>S</x:v>
      </x:c>
      <x:c r="L130" t="str">
        <x:f>IF(G130="","",RIGHT(G130,1))</x:f>
        <x:v>I</x:v>
      </x:c>
      <x:c r="M130" t="n">
        <x:f>IF(L130="D",5,IF(L130="N",10,IF(L130="I",15,IF(L130="M",40,0))))</x:f>
        <x:v>15</x:v>
      </x:c>
    </x:row>
    <x:row r="131">
      <x:c r="A131" t="str">
        <x:v>jasmine|Children</x:v>
      </x:c>
      <x:c r="B131" t="str">
        <x:v>jasmine</x:v>
      </x:c>
      <x:c r="C131" t="str">
        <x:v>Children</x:v>
      </x:c>
      <x:c r="D131" t="str">
        <x:f>INDEX(Data!$C$2:$K$22,MATCH(B131,Data!$B$2:$B$22,0),MATCH(C131,Data!$C$1:$K$1,0))</x:f>
        <x:v>N-</x:v>
      </x:c>
      <x:c r="E131" t="str">
        <x:f>UPPER(SUBSTITUTE(TRIM(D131),"1","I"))</x:f>
        <x:v>N-</x:v>
      </x:c>
      <x:c r="F131" t="n">
        <x:f>MIN(IFERROR(FIND("^",E131),999),IFERROR(FIND("-",E131),999))</x:f>
        <x:v>2</x:v>
      </x:c>
      <x:c r="G131" t="str">
        <x:f>IF(OR(E131="",F131=999,LEN(E131)&lt;=F131),"",MID(E131,F131+1,99))</x:f>
      </x:c>
      <x:c r="H131" t="str">
        <x:f>IF(OR(E131="",F131=999),"",LEFT(E131,F131-1))</x:f>
        <x:v>N</x:v>
      </x:c>
      <x:c r="I131" t="n">
        <x:f>IF(MID(E131,F131,1)="-",0.75,IF(MID(E131,F131,1)="^",1,0))</x:f>
        <x:v>0.75</x:v>
      </x:c>
      <x:c r="J131" t="str">
        <x:f>IF(G131="","",IF(LEN(G131)=1,"=",LEFT(G131,LEN(G131)-1)))</x:f>
      </x:c>
      <x:c r="K131" t="str">
        <x:f>IF(J131="","",IF(LEFT(J131,1)="=",H131,J131))</x:f>
      </x:c>
      <x:c r="L131" t="str">
        <x:f>IF(G131="","",RIGHT(G131,1))</x:f>
      </x:c>
      <x:c r="M131" t="n">
        <x:f>IF(L131="D",5,IF(L131="N",10,IF(L131="I",15,IF(L131="M",40,0))))</x:f>
        <x:v>0</x:v>
      </x:c>
    </x:row>
    <x:row r="132">
      <x:c r="A132" t="str">
        <x:v>jasmine|Ethicity</x:v>
      </x:c>
      <x:c r="B132" t="str">
        <x:v>jasmine</x:v>
      </x:c>
      <x:c r="C132" t="str">
        <x:v>Ethicity</x:v>
      </x:c>
      <x:c r="D132" t="str">
        <x:f>INDEX(Data!$C$2:$K$22,MATCH(B132,Data!$B$2:$B$22,0),MATCH(C132,Data!$C$1:$K$1,0))</x:f>
        <x:v>A^</x:v>
      </x:c>
      <x:c r="E132" t="str">
        <x:f>UPPER(SUBSTITUTE(TRIM(D132),"1","I"))</x:f>
        <x:v>A^</x:v>
      </x:c>
      <x:c r="F132" t="n">
        <x:f>MIN(IFERROR(FIND("^",E132),999),IFERROR(FIND("-",E132),999))</x:f>
        <x:v>2</x:v>
      </x:c>
      <x:c r="G132" t="str">
        <x:f>IF(OR(E132="",F132=999,LEN(E132)&lt;=F132),"",MID(E132,F132+1,99))</x:f>
      </x:c>
      <x:c r="H132" t="str">
        <x:f>IF(OR(E132="",F132=999),"",LEFT(E132,F132-1))</x:f>
        <x:v>A</x:v>
      </x:c>
      <x:c r="I132" t="n">
        <x:f>IF(MID(E132,F132,1)="-",0.75,IF(MID(E132,F132,1)="^",1,0))</x:f>
        <x:v>1</x:v>
      </x:c>
      <x:c r="J132" t="str">
        <x:f>IF(G132="","",IF(LEN(G132)=1,"=",LEFT(G132,LEN(G132)-1)))</x:f>
      </x:c>
      <x:c r="K132" t="str">
        <x:f>IF(J132="","",IF(LEFT(J132,1)="=",H132,J132))</x:f>
      </x:c>
      <x:c r="L132" t="str">
        <x:f>IF(G132="","",RIGHT(G132,1))</x:f>
      </x:c>
      <x:c r="M132" t="n">
        <x:f>IF(L132="D",5,IF(L132="N",10,IF(L132="I",15,IF(L132="M",40,0))))</x:f>
        <x:v>0</x:v>
      </x:c>
    </x:row>
    <x:row r="133">
      <x:c r="A133" t="str">
        <x:v>jasmine|Past</x:v>
      </x:c>
      <x:c r="B133" t="str">
        <x:v>jasmine</x:v>
      </x:c>
      <x:c r="C133" t="str">
        <x:v>Past</x:v>
      </x:c>
      <x:c r="D133" t="str">
        <x:f>INDEX(Data!$C$2:$K$22,MATCH(B133,Data!$B$2:$B$22,0),MATCH(C133,Data!$C$1:$K$1,0))</x:f>
        <x:v>N^=D</x:v>
      </x:c>
      <x:c r="E133" t="str">
        <x:f>UPPER(SUBSTITUTE(TRIM(D133),"1","I"))</x:f>
        <x:v>N^=D</x:v>
      </x:c>
      <x:c r="F133" t="n">
        <x:f>MIN(IFERROR(FIND("^",E133),999),IFERROR(FIND("-",E133),999))</x:f>
        <x:v>2</x:v>
      </x:c>
      <x:c r="G133" t="str">
        <x:f>IF(OR(E133="",F133=999,LEN(E133)&lt;=F133),"",MID(E133,F133+1,99))</x:f>
        <x:v>=D</x:v>
      </x:c>
      <x:c r="H133" t="str">
        <x:f>IF(OR(E133="",F133=999),"",LEFT(E133,F133-1))</x:f>
        <x:v>N</x:v>
      </x:c>
      <x:c r="I133" t="n">
        <x:f>IF(MID(E133,F133,1)="-",0.75,IF(MID(E133,F133,1)="^",1,0))</x:f>
        <x:v>1</x:v>
      </x:c>
      <x:c r="J133" t="str">
        <x:f>IF(G133="","",IF(LEN(G133)=1,"=",LEFT(G133,LEN(G133)-1)))</x:f>
        <x:v>=</x:v>
      </x:c>
      <x:c r="K133" t="str">
        <x:f>IF(J133="","",IF(LEFT(J133,1)="=",H133,J133))</x:f>
        <x:v>N</x:v>
      </x:c>
      <x:c r="L133" t="str">
        <x:f>IF(G133="","",RIGHT(G133,1))</x:f>
        <x:v>D</x:v>
      </x:c>
      <x:c r="M133" t="n">
        <x:f>IF(L133="D",5,IF(L133="N",10,IF(L133="I",15,IF(L133="M",40,0))))</x:f>
        <x:v>5</x:v>
      </x:c>
    </x:row>
    <x:row r="134">
      <x:c r="A134" t="str">
        <x:v>jasmine|D/S</x:v>
      </x:c>
      <x:c r="B134" t="str">
        <x:v>jasmine</x:v>
      </x:c>
      <x:c r="C134" t="str">
        <x:v>D/S</x:v>
      </x:c>
      <x:c r="D134" t="str">
        <x:f>INDEX(Data!$C$2:$K$22,MATCH(B134,Data!$B$2:$B$22,0),MATCH(C134,Data!$C$1:$K$1,0))</x:f>
        <x:v>S-DD</x:v>
      </x:c>
      <x:c r="E134" t="str">
        <x:f>UPPER(SUBSTITUTE(TRIM(D134),"1","I"))</x:f>
        <x:v>S-DD</x:v>
      </x:c>
      <x:c r="F134" t="n">
        <x:f>MIN(IFERROR(FIND("^",E134),999),IFERROR(FIND("-",E134),999))</x:f>
        <x:v>2</x:v>
      </x:c>
      <x:c r="G134" t="str">
        <x:f>IF(OR(E134="",F134=999,LEN(E134)&lt;=F134),"",MID(E134,F134+1,99))</x:f>
        <x:v>DD</x:v>
      </x:c>
      <x:c r="H134" t="str">
        <x:f>IF(OR(E134="",F134=999),"",LEFT(E134,F134-1))</x:f>
        <x:v>S</x:v>
      </x:c>
      <x:c r="I134" t="n">
        <x:f>IF(MID(E134,F134,1)="-",0.75,IF(MID(E134,F134,1)="^",1,0))</x:f>
        <x:v>0.75</x:v>
      </x:c>
      <x:c r="J134" t="str">
        <x:f>IF(G134="","",IF(LEN(G134)=1,"=",LEFT(G134,LEN(G134)-1)))</x:f>
        <x:v>D</x:v>
      </x:c>
      <x:c r="K134" t="str">
        <x:f>IF(J134="","",IF(LEFT(J134,1)="=",H134,J134))</x:f>
        <x:v>D</x:v>
      </x:c>
      <x:c r="L134" t="str">
        <x:f>IF(G134="","",RIGHT(G134,1))</x:f>
        <x:v>D</x:v>
      </x:c>
      <x:c r="M134" t="n">
        <x:f>IF(L134="D",5,IF(L134="N",10,IF(L134="I",15,IF(L134="M",40,0))))</x:f>
        <x:v>5</x:v>
      </x:c>
    </x:row>
    <x:row r="135">
      <x:c r="A135" t="str">
        <x:v>jasmine|True/kind</x:v>
      </x:c>
      <x:c r="B135" t="str">
        <x:v>jasmine</x:v>
      </x:c>
      <x:c r="C135" t="str">
        <x:v>True/kind</x:v>
      </x:c>
      <x:c r="D135" t="str">
        <x:f>INDEX(Data!$C$2:$K$22,MATCH(B135,Data!$B$2:$B$22,0),MATCH(C135,Data!$C$1:$K$1,0))</x:f>
        <x:v>K^TN</x:v>
      </x:c>
      <x:c r="E135" t="str">
        <x:f>UPPER(SUBSTITUTE(TRIM(D135),"1","I"))</x:f>
        <x:v>K^TN</x:v>
      </x:c>
      <x:c r="F135" t="n">
        <x:f>MIN(IFERROR(FIND("^",E135),999),IFERROR(FIND("-",E135),999))</x:f>
        <x:v>2</x:v>
      </x:c>
      <x:c r="G135" t="str">
        <x:f>IF(OR(E135="",F135=999,LEN(E135)&lt;=F135),"",MID(E135,F135+1,99))</x:f>
        <x:v>TN</x:v>
      </x:c>
      <x:c r="H135" t="str">
        <x:f>IF(OR(E135="",F135=999),"",LEFT(E135,F135-1))</x:f>
        <x:v>K</x:v>
      </x:c>
      <x:c r="I135" t="n">
        <x:f>IF(MID(E135,F135,1)="-",0.75,IF(MID(E135,F135,1)="^",1,0))</x:f>
        <x:v>1</x:v>
      </x:c>
      <x:c r="J135" t="str">
        <x:f>IF(G135="","",IF(LEN(G135)=1,"=",LEFT(G135,LEN(G135)-1)))</x:f>
        <x:v>T</x:v>
      </x:c>
      <x:c r="K135" t="str">
        <x:f>IF(J135="","",IF(LEFT(J135,1)="=",H135,J135))</x:f>
        <x:v>T</x:v>
      </x:c>
      <x:c r="L135" t="str">
        <x:f>IF(G135="","",RIGHT(G135,1))</x:f>
        <x:v>N</x:v>
      </x:c>
      <x:c r="M135" t="n">
        <x:f>IF(L135="D",5,IF(L135="N",10,IF(L135="I",15,IF(L135="M",40,0))))</x:f>
        <x:v>10</x:v>
      </x:c>
    </x:row>
    <x:row r="136">
      <x:c r="A136" t="str">
        <x:v>jasmine|Animal</x:v>
      </x:c>
      <x:c r="B136" t="str">
        <x:v>jasmine</x:v>
      </x:c>
      <x:c r="C136" t="str">
        <x:v>Animal</x:v>
      </x:c>
      <x:c r="D136" t="str">
        <x:f>INDEX(Data!$C$2:$K$22,MATCH(B136,Data!$B$2:$B$22,0),MATCH(C136,Data!$C$1:$K$1,0))</x:f>
        <x:v>A^=N</x:v>
      </x:c>
      <x:c r="E136" t="str">
        <x:f>UPPER(SUBSTITUTE(TRIM(D136),"1","I"))</x:f>
        <x:v>A^=N</x:v>
      </x:c>
      <x:c r="F136" t="n">
        <x:f>MIN(IFERROR(FIND("^",E136),999),IFERROR(FIND("-",E136),999))</x:f>
        <x:v>2</x:v>
      </x:c>
      <x:c r="G136" t="str">
        <x:f>IF(OR(E136="",F136=999,LEN(E136)&lt;=F136),"",MID(E136,F136+1,99))</x:f>
        <x:v>=N</x:v>
      </x:c>
      <x:c r="H136" t="str">
        <x:f>IF(OR(E136="",F136=999),"",LEFT(E136,F136-1))</x:f>
        <x:v>A</x:v>
      </x:c>
      <x:c r="I136" t="n">
        <x:f>IF(MID(E136,F136,1)="-",0.75,IF(MID(E136,F136,1)="^",1,0))</x:f>
        <x:v>1</x:v>
      </x:c>
      <x:c r="J136" t="str">
        <x:f>IF(G136="","",IF(LEN(G136)=1,"=",LEFT(G136,LEN(G136)-1)))</x:f>
        <x:v>=</x:v>
      </x:c>
      <x:c r="K136" t="str">
        <x:f>IF(J136="","",IF(LEFT(J136,1)="=",H136,J136))</x:f>
        <x:v>A</x:v>
      </x:c>
      <x:c r="L136" t="str">
        <x:f>IF(G136="","",RIGHT(G136,1))</x:f>
        <x:v>N</x:v>
      </x:c>
      <x:c r="M136" t="n">
        <x:f>IF(L136="D",5,IF(L136="N",10,IF(L136="I",15,IF(L136="M",40,0))))</x:f>
        <x:v>10</x:v>
      </x:c>
    </x:row>
    <x:row r="137">
      <x:c r="A137" t="str">
        <x:v>cathleen|God</x:v>
      </x:c>
      <x:c r="B137" t="str">
        <x:v>cathleen</x:v>
      </x:c>
      <x:c r="C137" t="str">
        <x:v>God</x:v>
      </x:c>
      <x:c r="D137" t="str">
        <x:f>INDEX(Data!$C$2:$K$22,MATCH(B137,Data!$B$2:$B$22,0),MATCH(C137,Data!$C$1:$K$1,0))</x:f>
        <x:v>N^=I</x:v>
      </x:c>
      <x:c r="E137" t="str">
        <x:f>UPPER(SUBSTITUTE(TRIM(D137),"1","I"))</x:f>
        <x:v>N^=I</x:v>
      </x:c>
      <x:c r="F137" t="n">
        <x:f>MIN(IFERROR(FIND("^",E137),999),IFERROR(FIND("-",E137),999))</x:f>
        <x:v>2</x:v>
      </x:c>
      <x:c r="G137" t="str">
        <x:f>IF(OR(E137="",F137=999,LEN(E137)&lt;=F137),"",MID(E137,F137+1,99))</x:f>
        <x:v>=I</x:v>
      </x:c>
      <x:c r="H137" t="str">
        <x:f>IF(OR(E137="",F137=999),"",LEFT(E137,F137-1))</x:f>
        <x:v>N</x:v>
      </x:c>
      <x:c r="I137" t="n">
        <x:f>IF(MID(E137,F137,1)="-",0.75,IF(MID(E137,F137,1)="^",1,0))</x:f>
        <x:v>1</x:v>
      </x:c>
      <x:c r="J137" t="str">
        <x:f>IF(G137="","",IF(LEN(G137)=1,"=",LEFT(G137,LEN(G137)-1)))</x:f>
        <x:v>=</x:v>
      </x:c>
      <x:c r="K137" t="str">
        <x:f>IF(J137="","",IF(LEFT(J137,1)="=",H137,J137))</x:f>
        <x:v>N</x:v>
      </x:c>
      <x:c r="L137" t="str">
        <x:f>IF(G137="","",RIGHT(G137,1))</x:f>
        <x:v>I</x:v>
      </x:c>
      <x:c r="M137" t="n">
        <x:f>IF(L137="D",5,IF(L137="N",10,IF(L137="I",15,IF(L137="M",40,0))))</x:f>
        <x:v>15</x:v>
      </x:c>
    </x:row>
    <x:row r="138">
      <x:c r="A138" t="str">
        <x:v>cathleen|Politics</x:v>
      </x:c>
      <x:c r="B138" t="str">
        <x:v>cathleen</x:v>
      </x:c>
      <x:c r="C138" t="str">
        <x:v>Politics</x:v>
      </x:c>
      <x:c r="D138" t="str">
        <x:f>INDEX(Data!$C$2:$K$22,MATCH(B138,Data!$B$2:$B$22,0),MATCH(C138,Data!$C$1:$K$1,0))</x:f>
        <x:v>L^=D</x:v>
      </x:c>
      <x:c r="E138" t="str">
        <x:f>UPPER(SUBSTITUTE(TRIM(D138),"1","I"))</x:f>
        <x:v>L^=D</x:v>
      </x:c>
      <x:c r="F138" t="n">
        <x:f>MIN(IFERROR(FIND("^",E138),999),IFERROR(FIND("-",E138),999))</x:f>
        <x:v>2</x:v>
      </x:c>
      <x:c r="G138" t="str">
        <x:f>IF(OR(E138="",F138=999,LEN(E138)&lt;=F138),"",MID(E138,F138+1,99))</x:f>
        <x:v>=D</x:v>
      </x:c>
      <x:c r="H138" t="str">
        <x:f>IF(OR(E138="",F138=999),"",LEFT(E138,F138-1))</x:f>
        <x:v>L</x:v>
      </x:c>
      <x:c r="I138" t="n">
        <x:f>IF(MID(E138,F138,1)="-",0.75,IF(MID(E138,F138,1)="^",1,0))</x:f>
        <x:v>1</x:v>
      </x:c>
      <x:c r="J138" t="str">
        <x:f>IF(G138="","",IF(LEN(G138)=1,"=",LEFT(G138,LEN(G138)-1)))</x:f>
        <x:v>=</x:v>
      </x:c>
      <x:c r="K138" t="str">
        <x:f>IF(J138="","",IF(LEFT(J138,1)="=",H138,J138))</x:f>
        <x:v>L</x:v>
      </x:c>
      <x:c r="L138" t="str">
        <x:f>IF(G138="","",RIGHT(G138,1))</x:f>
        <x:v>D</x:v>
      </x:c>
      <x:c r="M138" t="n">
        <x:f>IF(L138="D",5,IF(L138="N",10,IF(L138="I",15,IF(L138="M",40,0))))</x:f>
        <x:v>5</x:v>
      </x:c>
    </x:row>
    <x:row r="139">
      <x:c r="A139" t="str">
        <x:v>cathleen|Marriage</x:v>
      </x:c>
      <x:c r="B139" t="str">
        <x:v>cathleen</x:v>
      </x:c>
      <x:c r="C139" t="str">
        <x:v>Marriage</x:v>
      </x:c>
      <x:c r="D139" t="str">
        <x:f>INDEX(Data!$C$2:$K$22,MATCH(B139,Data!$B$2:$B$22,0),MATCH(C139,Data!$C$1:$K$1,0))</x:f>
        <x:v>S-LD</x:v>
      </x:c>
      <x:c r="E139" t="str">
        <x:f>UPPER(SUBSTITUTE(TRIM(D139),"1","I"))</x:f>
        <x:v>S-LD</x:v>
      </x:c>
      <x:c r="F139" t="n">
        <x:f>MIN(IFERROR(FIND("^",E139),999),IFERROR(FIND("-",E139),999))</x:f>
        <x:v>2</x:v>
      </x:c>
      <x:c r="G139" t="str">
        <x:f>IF(OR(E139="",F139=999,LEN(E139)&lt;=F139),"",MID(E139,F139+1,99))</x:f>
        <x:v>LD</x:v>
      </x:c>
      <x:c r="H139" t="str">
        <x:f>IF(OR(E139="",F139=999),"",LEFT(E139,F139-1))</x:f>
        <x:v>S</x:v>
      </x:c>
      <x:c r="I139" t="n">
        <x:f>IF(MID(E139,F139,1)="-",0.75,IF(MID(E139,F139,1)="^",1,0))</x:f>
        <x:v>0.75</x:v>
      </x:c>
      <x:c r="J139" t="str">
        <x:f>IF(G139="","",IF(LEN(G139)=1,"=",LEFT(G139,LEN(G139)-1)))</x:f>
        <x:v>L</x:v>
      </x:c>
      <x:c r="K139" t="str">
        <x:f>IF(J139="","",IF(LEFT(J139,1)="=",H139,J139))</x:f>
        <x:v>L</x:v>
      </x:c>
      <x:c r="L139" t="str">
        <x:f>IF(G139="","",RIGHT(G139,1))</x:f>
        <x:v>D</x:v>
      </x:c>
      <x:c r="M139" t="n">
        <x:f>IF(L139="D",5,IF(L139="N",10,IF(L139="I",15,IF(L139="M",40,0))))</x:f>
        <x:v>5</x:v>
      </x:c>
    </x:row>
    <x:row r="140">
      <x:c r="A140" t="str">
        <x:v>cathleen|Children</x:v>
      </x:c>
      <x:c r="B140" t="str">
        <x:v>cathleen</x:v>
      </x:c>
      <x:c r="C140" t="str">
        <x:v>Children</x:v>
      </x:c>
      <x:c r="D140" t="str">
        <x:f>INDEX(Data!$C$2:$K$22,MATCH(B140,Data!$B$2:$B$22,0),MATCH(C140,Data!$C$1:$K$1,0))</x:f>
        <x:v>N-=M</x:v>
      </x:c>
      <x:c r="E140" t="str">
        <x:f>UPPER(SUBSTITUTE(TRIM(D140),"1","I"))</x:f>
        <x:v>N-=M</x:v>
      </x:c>
      <x:c r="F140" t="n">
        <x:f>MIN(IFERROR(FIND("^",E140),999),IFERROR(FIND("-",E140),999))</x:f>
        <x:v>2</x:v>
      </x:c>
      <x:c r="G140" t="str">
        <x:f>IF(OR(E140="",F140=999,LEN(E140)&lt;=F140),"",MID(E140,F140+1,99))</x:f>
        <x:v>=M</x:v>
      </x:c>
      <x:c r="H140" t="str">
        <x:f>IF(OR(E140="",F140=999),"",LEFT(E140,F140-1))</x:f>
        <x:v>N</x:v>
      </x:c>
      <x:c r="I140" t="n">
        <x:f>IF(MID(E140,F140,1)="-",0.75,IF(MID(E140,F140,1)="^",1,0))</x:f>
        <x:v>0.75</x:v>
      </x:c>
      <x:c r="J140" t="str">
        <x:f>IF(G140="","",IF(LEN(G140)=1,"=",LEFT(G140,LEN(G140)-1)))</x:f>
        <x:v>=</x:v>
      </x:c>
      <x:c r="K140" t="str">
        <x:f>IF(J140="","",IF(LEFT(J140,1)="=",H140,J140))</x:f>
        <x:v>N</x:v>
      </x:c>
      <x:c r="L140" t="str">
        <x:f>IF(G140="","",RIGHT(G140,1))</x:f>
        <x:v>M</x:v>
      </x:c>
      <x:c r="M140" t="n">
        <x:f>IF(L140="D",5,IF(L140="N",10,IF(L140="I",15,IF(L140="M",40,0))))</x:f>
        <x:v>40</x:v>
      </x:c>
    </x:row>
    <x:row r="141">
      <x:c r="A141" t="str">
        <x:v>cathleen|Ethicity</x:v>
      </x:c>
      <x:c r="B141" t="str">
        <x:v>cathleen</x:v>
      </x:c>
      <x:c r="C141" t="str">
        <x:v>Ethicity</x:v>
      </x:c>
      <x:c r="D141" t="str">
        <x:f>INDEX(Data!$C$2:$K$22,MATCH(B141,Data!$B$2:$B$22,0),MATCH(C141,Data!$C$1:$K$1,0))</x:f>
        <x:v>A^=N</x:v>
      </x:c>
      <x:c r="E141" t="str">
        <x:f>UPPER(SUBSTITUTE(TRIM(D141),"1","I"))</x:f>
        <x:v>A^=N</x:v>
      </x:c>
      <x:c r="F141" t="n">
        <x:f>MIN(IFERROR(FIND("^",E141),999),IFERROR(FIND("-",E141),999))</x:f>
        <x:v>2</x:v>
      </x:c>
      <x:c r="G141" t="str">
        <x:f>IF(OR(E141="",F141=999,LEN(E141)&lt;=F141),"",MID(E141,F141+1,99))</x:f>
        <x:v>=N</x:v>
      </x:c>
      <x:c r="H141" t="str">
        <x:f>IF(OR(E141="",F141=999),"",LEFT(E141,F141-1))</x:f>
        <x:v>A</x:v>
      </x:c>
      <x:c r="I141" t="n">
        <x:f>IF(MID(E141,F141,1)="-",0.75,IF(MID(E141,F141,1)="^",1,0))</x:f>
        <x:v>1</x:v>
      </x:c>
      <x:c r="J141" t="str">
        <x:f>IF(G141="","",IF(LEN(G141)=1,"=",LEFT(G141,LEN(G141)-1)))</x:f>
        <x:v>=</x:v>
      </x:c>
      <x:c r="K141" t="str">
        <x:f>IF(J141="","",IF(LEFT(J141,1)="=",H141,J141))</x:f>
        <x:v>A</x:v>
      </x:c>
      <x:c r="L141" t="str">
        <x:f>IF(G141="","",RIGHT(G141,1))</x:f>
        <x:v>N</x:v>
      </x:c>
      <x:c r="M141" t="n">
        <x:f>IF(L141="D",5,IF(L141="N",10,IF(L141="I",15,IF(L141="M",40,0))))</x:f>
        <x:v>10</x:v>
      </x:c>
    </x:row>
    <x:row r="142">
      <x:c r="A142" t="str">
        <x:v>cathleen|Past</x:v>
      </x:c>
      <x:c r="B142" t="str">
        <x:v>cathleen</x:v>
      </x:c>
      <x:c r="C142" t="str">
        <x:v>Past</x:v>
      </x:c>
      <x:c r="D142" t="str">
        <x:f>INDEX(Data!$C$2:$K$22,MATCH(B142,Data!$B$2:$B$22,0),MATCH(C142,Data!$C$1:$K$1,0))</x:f>
        <x:v>Y^</x:v>
      </x:c>
      <x:c r="E142" t="str">
        <x:f>UPPER(SUBSTITUTE(TRIM(D142),"1","I"))</x:f>
        <x:v>Y^</x:v>
      </x:c>
      <x:c r="F142" t="n">
        <x:f>MIN(IFERROR(FIND("^",E142),999),IFERROR(FIND("-",E142),999))</x:f>
        <x:v>2</x:v>
      </x:c>
      <x:c r="G142" t="str">
        <x:f>IF(OR(E142="",F142=999,LEN(E142)&lt;=F142),"",MID(E142,F142+1,99))</x:f>
      </x:c>
      <x:c r="H142" t="str">
        <x:f>IF(OR(E142="",F142=999),"",LEFT(E142,F142-1))</x:f>
        <x:v>Y</x:v>
      </x:c>
      <x:c r="I142" t="n">
        <x:f>IF(MID(E142,F142,1)="-",0.75,IF(MID(E142,F142,1)="^",1,0))</x:f>
        <x:v>1</x:v>
      </x:c>
      <x:c r="J142" t="str">
        <x:f>IF(G142="","",IF(LEN(G142)=1,"=",LEFT(G142,LEN(G142)-1)))</x:f>
      </x:c>
      <x:c r="K142" t="str">
        <x:f>IF(J142="","",IF(LEFT(J142,1)="=",H142,J142))</x:f>
      </x:c>
      <x:c r="L142" t="str">
        <x:f>IF(G142="","",RIGHT(G142,1))</x:f>
      </x:c>
      <x:c r="M142" t="n">
        <x:f>IF(L142="D",5,IF(L142="N",10,IF(L142="I",15,IF(L142="M",40,0))))</x:f>
        <x:v>0</x:v>
      </x:c>
    </x:row>
    <x:row r="143">
      <x:c r="A143" t="str">
        <x:v>cathleen|D/S</x:v>
      </x:c>
      <x:c r="B143" t="str">
        <x:v>cathleen</x:v>
      </x:c>
      <x:c r="C143" t="str">
        <x:v>D/S</x:v>
      </x:c>
      <x:c r="D143" t="str">
        <x:f>INDEX(Data!$C$2:$K$22,MATCH(B143,Data!$B$2:$B$22,0),MATCH(C143,Data!$C$1:$K$1,0))</x:f>
        <x:v>D-SN</x:v>
      </x:c>
      <x:c r="E143" t="str">
        <x:f>UPPER(SUBSTITUTE(TRIM(D143),"1","I"))</x:f>
        <x:v>D-SN</x:v>
      </x:c>
      <x:c r="F143" t="n">
        <x:f>MIN(IFERROR(FIND("^",E143),999),IFERROR(FIND("-",E143),999))</x:f>
        <x:v>2</x:v>
      </x:c>
      <x:c r="G143" t="str">
        <x:f>IF(OR(E143="",F143=999,LEN(E143)&lt;=F143),"",MID(E143,F143+1,99))</x:f>
        <x:v>SN</x:v>
      </x:c>
      <x:c r="H143" t="str">
        <x:f>IF(OR(E143="",F143=999),"",LEFT(E143,F143-1))</x:f>
        <x:v>D</x:v>
      </x:c>
      <x:c r="I143" t="n">
        <x:f>IF(MID(E143,F143,1)="-",0.75,IF(MID(E143,F143,1)="^",1,0))</x:f>
        <x:v>0.75</x:v>
      </x:c>
      <x:c r="J143" t="str">
        <x:f>IF(G143="","",IF(LEN(G143)=1,"=",LEFT(G143,LEN(G143)-1)))</x:f>
        <x:v>S</x:v>
      </x:c>
      <x:c r="K143" t="str">
        <x:f>IF(J143="","",IF(LEFT(J143,1)="=",H143,J143))</x:f>
        <x:v>S</x:v>
      </x:c>
      <x:c r="L143" t="str">
        <x:f>IF(G143="","",RIGHT(G143,1))</x:f>
        <x:v>N</x:v>
      </x:c>
      <x:c r="M143" t="n">
        <x:f>IF(L143="D",5,IF(L143="N",10,IF(L143="I",15,IF(L143="M",40,0))))</x:f>
        <x:v>10</x:v>
      </x:c>
    </x:row>
    <x:row r="144">
      <x:c r="A144" t="str">
        <x:v>cathleen|True/kind</x:v>
      </x:c>
      <x:c r="B144" t="str">
        <x:v>cathleen</x:v>
      </x:c>
      <x:c r="C144" t="str">
        <x:v>True/kind</x:v>
      </x:c>
      <x:c r="D144" t="str">
        <x:f>INDEX(Data!$C$2:$K$22,MATCH(B144,Data!$B$2:$B$22,0),MATCH(C144,Data!$C$1:$K$1,0))</x:f>
        <x:v>T^</x:v>
      </x:c>
      <x:c r="E144" t="str">
        <x:f>UPPER(SUBSTITUTE(TRIM(D144),"1","I"))</x:f>
        <x:v>T^</x:v>
      </x:c>
      <x:c r="F144" t="n">
        <x:f>MIN(IFERROR(FIND("^",E144),999),IFERROR(FIND("-",E144),999))</x:f>
        <x:v>2</x:v>
      </x:c>
      <x:c r="G144" t="str">
        <x:f>IF(OR(E144="",F144=999,LEN(E144)&lt;=F144),"",MID(E144,F144+1,99))</x:f>
      </x:c>
      <x:c r="H144" t="str">
        <x:f>IF(OR(E144="",F144=999),"",LEFT(E144,F144-1))</x:f>
        <x:v>T</x:v>
      </x:c>
      <x:c r="I144" t="n">
        <x:f>IF(MID(E144,F144,1)="-",0.75,IF(MID(E144,F144,1)="^",1,0))</x:f>
        <x:v>1</x:v>
      </x:c>
      <x:c r="J144" t="str">
        <x:f>IF(G144="","",IF(LEN(G144)=1,"=",LEFT(G144,LEN(G144)-1)))</x:f>
      </x:c>
      <x:c r="K144" t="str">
        <x:f>IF(J144="","",IF(LEFT(J144,1)="=",H144,J144))</x:f>
      </x:c>
      <x:c r="L144" t="str">
        <x:f>IF(G144="","",RIGHT(G144,1))</x:f>
      </x:c>
      <x:c r="M144" t="n">
        <x:f>IF(L144="D",5,IF(L144="N",10,IF(L144="I",15,IF(L144="M",40,0))))</x:f>
        <x:v>0</x:v>
      </x:c>
    </x:row>
    <x:row r="145">
      <x:c r="A145" t="str">
        <x:v>cathleen|Animal</x:v>
      </x:c>
      <x:c r="B145" t="str">
        <x:v>cathleen</x:v>
      </x:c>
      <x:c r="C145" t="str">
        <x:v>Animal</x:v>
      </x:c>
      <x:c r="D145" t="str">
        <x:f>INDEX(Data!$C$2:$K$22,MATCH(B145,Data!$B$2:$B$22,0),MATCH(C145,Data!$C$1:$K$1,0))</x:f>
        <x:v>A^=I</x:v>
      </x:c>
      <x:c r="E145" t="str">
        <x:f>UPPER(SUBSTITUTE(TRIM(D145),"1","I"))</x:f>
        <x:v>A^=I</x:v>
      </x:c>
      <x:c r="F145" t="n">
        <x:f>MIN(IFERROR(FIND("^",E145),999),IFERROR(FIND("-",E145),999))</x:f>
        <x:v>2</x:v>
      </x:c>
      <x:c r="G145" t="str">
        <x:f>IF(OR(E145="",F145=999,LEN(E145)&lt;=F145),"",MID(E145,F145+1,99))</x:f>
        <x:v>=I</x:v>
      </x:c>
      <x:c r="H145" t="str">
        <x:f>IF(OR(E145="",F145=999),"",LEFT(E145,F145-1))</x:f>
        <x:v>A</x:v>
      </x:c>
      <x:c r="I145" t="n">
        <x:f>IF(MID(E145,F145,1)="-",0.75,IF(MID(E145,F145,1)="^",1,0))</x:f>
        <x:v>1</x:v>
      </x:c>
      <x:c r="J145" t="str">
        <x:f>IF(G145="","",IF(LEN(G145)=1,"=",LEFT(G145,LEN(G145)-1)))</x:f>
        <x:v>=</x:v>
      </x:c>
      <x:c r="K145" t="str">
        <x:f>IF(J145="","",IF(LEFT(J145,1)="=",H145,J145))</x:f>
        <x:v>A</x:v>
      </x:c>
      <x:c r="L145" t="str">
        <x:f>IF(G145="","",RIGHT(G145,1))</x:f>
        <x:v>I</x:v>
      </x:c>
      <x:c r="M145" t="n">
        <x:f>IF(L145="D",5,IF(L145="N",10,IF(L145="I",15,IF(L145="M",40,0))))</x:f>
        <x:v>15</x:v>
      </x:c>
    </x:row>
    <x:row r="146">
      <x:c r="A146" t="str">
        <x:v>edith|God</x:v>
      </x:c>
      <x:c r="B146" t="str">
        <x:v>edith</x:v>
      </x:c>
      <x:c r="C146" t="str">
        <x:v>God</x:v>
      </x:c>
      <x:c r="D146" t="str">
        <x:f>INDEX(Data!$C$2:$K$22,MATCH(B146,Data!$B$2:$B$22,0),MATCH(C146,Data!$C$1:$K$1,0))</x:f>
        <x:v>N-</x:v>
      </x:c>
      <x:c r="E146" t="str">
        <x:f>UPPER(SUBSTITUTE(TRIM(D146),"1","I"))</x:f>
        <x:v>N-</x:v>
      </x:c>
      <x:c r="F146" t="n">
        <x:f>MIN(IFERROR(FIND("^",E146),999),IFERROR(FIND("-",E146),999))</x:f>
        <x:v>2</x:v>
      </x:c>
      <x:c r="G146" t="str">
        <x:f>IF(OR(E146="",F146=999,LEN(E146)&lt;=F146),"",MID(E146,F146+1,99))</x:f>
      </x:c>
      <x:c r="H146" t="str">
        <x:f>IF(OR(E146="",F146=999),"",LEFT(E146,F146-1))</x:f>
        <x:v>N</x:v>
      </x:c>
      <x:c r="I146" t="n">
        <x:f>IF(MID(E146,F146,1)="-",0.75,IF(MID(E146,F146,1)="^",1,0))</x:f>
        <x:v>0.75</x:v>
      </x:c>
      <x:c r="J146" t="str">
        <x:f>IF(G146="","",IF(LEN(G146)=1,"=",LEFT(G146,LEN(G146)-1)))</x:f>
      </x:c>
      <x:c r="K146" t="str">
        <x:f>IF(J146="","",IF(LEFT(J146,1)="=",H146,J146))</x:f>
      </x:c>
      <x:c r="L146" t="str">
        <x:f>IF(G146="","",RIGHT(G146,1))</x:f>
      </x:c>
      <x:c r="M146" t="n">
        <x:f>IF(L146="D",5,IF(L146="N",10,IF(L146="I",15,IF(L146="M",40,0))))</x:f>
        <x:v>0</x:v>
      </x:c>
    </x:row>
    <x:row r="147">
      <x:c r="A147" t="str">
        <x:v>edith|Politics</x:v>
      </x:c>
      <x:c r="B147" t="str">
        <x:v>edith</x:v>
      </x:c>
      <x:c r="C147" t="str">
        <x:v>Politics</x:v>
      </x:c>
      <x:c r="D147" t="str">
        <x:f>INDEX(Data!$C$2:$K$22,MATCH(B147,Data!$B$2:$B$22,0),MATCH(C147,Data!$C$1:$K$1,0))</x:f>
        <x:v>R-</x:v>
      </x:c>
      <x:c r="E147" t="str">
        <x:f>UPPER(SUBSTITUTE(TRIM(D147),"1","I"))</x:f>
        <x:v>R-</x:v>
      </x:c>
      <x:c r="F147" t="n">
        <x:f>MIN(IFERROR(FIND("^",E147),999),IFERROR(FIND("-",E147),999))</x:f>
        <x:v>2</x:v>
      </x:c>
      <x:c r="G147" t="str">
        <x:f>IF(OR(E147="",F147=999,LEN(E147)&lt;=F147),"",MID(E147,F147+1,99))</x:f>
      </x:c>
      <x:c r="H147" t="str">
        <x:f>IF(OR(E147="",F147=999),"",LEFT(E147,F147-1))</x:f>
        <x:v>R</x:v>
      </x:c>
      <x:c r="I147" t="n">
        <x:f>IF(MID(E147,F147,1)="-",0.75,IF(MID(E147,F147,1)="^",1,0))</x:f>
        <x:v>0.75</x:v>
      </x:c>
      <x:c r="J147" t="str">
        <x:f>IF(G147="","",IF(LEN(G147)=1,"=",LEFT(G147,LEN(G147)-1)))</x:f>
      </x:c>
      <x:c r="K147" t="str">
        <x:f>IF(J147="","",IF(LEFT(J147,1)="=",H147,J147))</x:f>
      </x:c>
      <x:c r="L147" t="str">
        <x:f>IF(G147="","",RIGHT(G147,1))</x:f>
      </x:c>
      <x:c r="M147" t="n">
        <x:f>IF(L147="D",5,IF(L147="N",10,IF(L147="I",15,IF(L147="M",40,0))))</x:f>
        <x:v>0</x:v>
      </x:c>
    </x:row>
    <x:row r="148">
      <x:c r="A148" t="str">
        <x:v>edith|Marriage</x:v>
      </x:c>
      <x:c r="B148" t="str">
        <x:v>edith</x:v>
      </x:c>
      <x:c r="C148" t="str">
        <x:v>Marriage</x:v>
      </x:c>
      <x:c r="D148" t="str">
        <x:f>INDEX(Data!$C$2:$K$22,MATCH(B148,Data!$B$2:$B$22,0),MATCH(C148,Data!$C$1:$K$1,0))</x:f>
        <x:v>L-=D</x:v>
      </x:c>
      <x:c r="E148" t="str">
        <x:f>UPPER(SUBSTITUTE(TRIM(D148),"1","I"))</x:f>
        <x:v>L-=D</x:v>
      </x:c>
      <x:c r="F148" t="n">
        <x:f>MIN(IFERROR(FIND("^",E148),999),IFERROR(FIND("-",E148),999))</x:f>
        <x:v>2</x:v>
      </x:c>
      <x:c r="G148" t="str">
        <x:f>IF(OR(E148="",F148=999,LEN(E148)&lt;=F148),"",MID(E148,F148+1,99))</x:f>
        <x:v>=D</x:v>
      </x:c>
      <x:c r="H148" t="str">
        <x:f>IF(OR(E148="",F148=999),"",LEFT(E148,F148-1))</x:f>
        <x:v>L</x:v>
      </x:c>
      <x:c r="I148" t="n">
        <x:f>IF(MID(E148,F148,1)="-",0.75,IF(MID(E148,F148,1)="^",1,0))</x:f>
        <x:v>0.75</x:v>
      </x:c>
      <x:c r="J148" t="str">
        <x:f>IF(G148="","",IF(LEN(G148)=1,"=",LEFT(G148,LEN(G148)-1)))</x:f>
        <x:v>=</x:v>
      </x:c>
      <x:c r="K148" t="str">
        <x:f>IF(J148="","",IF(LEFT(J148,1)="=",H148,J148))</x:f>
        <x:v>L</x:v>
      </x:c>
      <x:c r="L148" t="str">
        <x:f>IF(G148="","",RIGHT(G148,1))</x:f>
        <x:v>D</x:v>
      </x:c>
      <x:c r="M148" t="n">
        <x:f>IF(L148="D",5,IF(L148="N",10,IF(L148="I",15,IF(L148="M",40,0))))</x:f>
        <x:v>5</x:v>
      </x:c>
    </x:row>
    <x:row r="149">
      <x:c r="A149" t="str">
        <x:v>edith|Children</x:v>
      </x:c>
      <x:c r="B149" t="str">
        <x:v>edith</x:v>
      </x:c>
      <x:c r="C149" t="str">
        <x:v>Children</x:v>
      </x:c>
      <x:c r="D149" t="str">
        <x:f>INDEX(Data!$C$2:$K$22,MATCH(B149,Data!$B$2:$B$22,0),MATCH(C149,Data!$C$1:$K$1,0))</x:f>
        <x:v>N-=D</x:v>
      </x:c>
      <x:c r="E149" t="str">
        <x:f>UPPER(SUBSTITUTE(TRIM(D149),"1","I"))</x:f>
        <x:v>N-=D</x:v>
      </x:c>
      <x:c r="F149" t="n">
        <x:f>MIN(IFERROR(FIND("^",E149),999),IFERROR(FIND("-",E149),999))</x:f>
        <x:v>2</x:v>
      </x:c>
      <x:c r="G149" t="str">
        <x:f>IF(OR(E149="",F149=999,LEN(E149)&lt;=F149),"",MID(E149,F149+1,99))</x:f>
        <x:v>=D</x:v>
      </x:c>
      <x:c r="H149" t="str">
        <x:f>IF(OR(E149="",F149=999),"",LEFT(E149,F149-1))</x:f>
        <x:v>N</x:v>
      </x:c>
      <x:c r="I149" t="n">
        <x:f>IF(MID(E149,F149,1)="-",0.75,IF(MID(E149,F149,1)="^",1,0))</x:f>
        <x:v>0.75</x:v>
      </x:c>
      <x:c r="J149" t="str">
        <x:f>IF(G149="","",IF(LEN(G149)=1,"=",LEFT(G149,LEN(G149)-1)))</x:f>
        <x:v>=</x:v>
      </x:c>
      <x:c r="K149" t="str">
        <x:f>IF(J149="","",IF(LEFT(J149,1)="=",H149,J149))</x:f>
        <x:v>N</x:v>
      </x:c>
      <x:c r="L149" t="str">
        <x:f>IF(G149="","",RIGHT(G149,1))</x:f>
        <x:v>D</x:v>
      </x:c>
      <x:c r="M149" t="n">
        <x:f>IF(L149="D",5,IF(L149="N",10,IF(L149="I",15,IF(L149="M",40,0))))</x:f>
        <x:v>5</x:v>
      </x:c>
    </x:row>
    <x:row r="150">
      <x:c r="A150" t="str">
        <x:v>edith|Ethicity</x:v>
      </x:c>
      <x:c r="B150" t="str">
        <x:v>edith</x:v>
      </x:c>
      <x:c r="C150" t="str">
        <x:v>Ethicity</x:v>
      </x:c>
      <x:c r="D150" t="str">
        <x:f>INDEX(Data!$C$2:$K$22,MATCH(B150,Data!$B$2:$B$22,0),MATCH(C150,Data!$C$1:$K$1,0))</x:f>
        <x:v>A^=N</x:v>
      </x:c>
      <x:c r="E150" t="str">
        <x:f>UPPER(SUBSTITUTE(TRIM(D150),"1","I"))</x:f>
        <x:v>A^=N</x:v>
      </x:c>
      <x:c r="F150" t="n">
        <x:f>MIN(IFERROR(FIND("^",E150),999),IFERROR(FIND("-",E150),999))</x:f>
        <x:v>2</x:v>
      </x:c>
      <x:c r="G150" t="str">
        <x:f>IF(OR(E150="",F150=999,LEN(E150)&lt;=F150),"",MID(E150,F150+1,99))</x:f>
        <x:v>=N</x:v>
      </x:c>
      <x:c r="H150" t="str">
        <x:f>IF(OR(E150="",F150=999),"",LEFT(E150,F150-1))</x:f>
        <x:v>A</x:v>
      </x:c>
      <x:c r="I150" t="n">
        <x:f>IF(MID(E150,F150,1)="-",0.75,IF(MID(E150,F150,1)="^",1,0))</x:f>
        <x:v>1</x:v>
      </x:c>
      <x:c r="J150" t="str">
        <x:f>IF(G150="","",IF(LEN(G150)=1,"=",LEFT(G150,LEN(G150)-1)))</x:f>
        <x:v>=</x:v>
      </x:c>
      <x:c r="K150" t="str">
        <x:f>IF(J150="","",IF(LEFT(J150,1)="=",H150,J150))</x:f>
        <x:v>A</x:v>
      </x:c>
      <x:c r="L150" t="str">
        <x:f>IF(G150="","",RIGHT(G150,1))</x:f>
        <x:v>N</x:v>
      </x:c>
      <x:c r="M150" t="n">
        <x:f>IF(L150="D",5,IF(L150="N",10,IF(L150="I",15,IF(L150="M",40,0))))</x:f>
        <x:v>10</x:v>
      </x:c>
    </x:row>
    <x:row r="151">
      <x:c r="A151" t="str">
        <x:v>edith|Past</x:v>
      </x:c>
      <x:c r="B151" t="str">
        <x:v>edith</x:v>
      </x:c>
      <x:c r="C151" t="str">
        <x:v>Past</x:v>
      </x:c>
      <x:c r="D151" t="str">
        <x:f>INDEX(Data!$C$2:$K$22,MATCH(B151,Data!$B$2:$B$22,0),MATCH(C151,Data!$C$1:$K$1,0))</x:f>
        <x:v>N-=N</x:v>
      </x:c>
      <x:c r="E151" t="str">
        <x:f>UPPER(SUBSTITUTE(TRIM(D151),"1","I"))</x:f>
        <x:v>N-=N</x:v>
      </x:c>
      <x:c r="F151" t="n">
        <x:f>MIN(IFERROR(FIND("^",E151),999),IFERROR(FIND("-",E151),999))</x:f>
        <x:v>2</x:v>
      </x:c>
      <x:c r="G151" t="str">
        <x:f>IF(OR(E151="",F151=999,LEN(E151)&lt;=F151),"",MID(E151,F151+1,99))</x:f>
        <x:v>=N</x:v>
      </x:c>
      <x:c r="H151" t="str">
        <x:f>IF(OR(E151="",F151=999),"",LEFT(E151,F151-1))</x:f>
        <x:v>N</x:v>
      </x:c>
      <x:c r="I151" t="n">
        <x:f>IF(MID(E151,F151,1)="-",0.75,IF(MID(E151,F151,1)="^",1,0))</x:f>
        <x:v>0.75</x:v>
      </x:c>
      <x:c r="J151" t="str">
        <x:f>IF(G151="","",IF(LEN(G151)=1,"=",LEFT(G151,LEN(G151)-1)))</x:f>
        <x:v>=</x:v>
      </x:c>
      <x:c r="K151" t="str">
        <x:f>IF(J151="","",IF(LEFT(J151,1)="=",H151,J151))</x:f>
        <x:v>N</x:v>
      </x:c>
      <x:c r="L151" t="str">
        <x:f>IF(G151="","",RIGHT(G151,1))</x:f>
        <x:v>N</x:v>
      </x:c>
      <x:c r="M151" t="n">
        <x:f>IF(L151="D",5,IF(L151="N",10,IF(L151="I",15,IF(L151="M",40,0))))</x:f>
        <x:v>10</x:v>
      </x:c>
    </x:row>
    <x:row r="152">
      <x:c r="A152" t="str">
        <x:v>edith|D/S</x:v>
      </x:c>
      <x:c r="B152" t="str">
        <x:v>edith</x:v>
      </x:c>
      <x:c r="C152" t="str">
        <x:v>D/S</x:v>
      </x:c>
      <x:c r="D152" t="str">
        <x:f>INDEX(Data!$C$2:$K$22,MATCH(B152,Data!$B$2:$B$22,0),MATCH(C152,Data!$C$1:$K$1,0))</x:f>
        <x:v>S-=I</x:v>
      </x:c>
      <x:c r="E152" t="str">
        <x:f>UPPER(SUBSTITUTE(TRIM(D152),"1","I"))</x:f>
        <x:v>S-=I</x:v>
      </x:c>
      <x:c r="F152" t="n">
        <x:f>MIN(IFERROR(FIND("^",E152),999),IFERROR(FIND("-",E152),999))</x:f>
        <x:v>2</x:v>
      </x:c>
      <x:c r="G152" t="str">
        <x:f>IF(OR(E152="",F152=999,LEN(E152)&lt;=F152),"",MID(E152,F152+1,99))</x:f>
        <x:v>=I</x:v>
      </x:c>
      <x:c r="H152" t="str">
        <x:f>IF(OR(E152="",F152=999),"",LEFT(E152,F152-1))</x:f>
        <x:v>S</x:v>
      </x:c>
      <x:c r="I152" t="n">
        <x:f>IF(MID(E152,F152,1)="-",0.75,IF(MID(E152,F152,1)="^",1,0))</x:f>
        <x:v>0.75</x:v>
      </x:c>
      <x:c r="J152" t="str">
        <x:f>IF(G152="","",IF(LEN(G152)=1,"=",LEFT(G152,LEN(G152)-1)))</x:f>
        <x:v>=</x:v>
      </x:c>
      <x:c r="K152" t="str">
        <x:f>IF(J152="","",IF(LEFT(J152,1)="=",H152,J152))</x:f>
        <x:v>S</x:v>
      </x:c>
      <x:c r="L152" t="str">
        <x:f>IF(G152="","",RIGHT(G152,1))</x:f>
        <x:v>I</x:v>
      </x:c>
      <x:c r="M152" t="n">
        <x:f>IF(L152="D",5,IF(L152="N",10,IF(L152="I",15,IF(L152="M",40,0))))</x:f>
        <x:v>15</x:v>
      </x:c>
    </x:row>
    <x:row r="153">
      <x:c r="A153" t="str">
        <x:v>edith|True/kind</x:v>
      </x:c>
      <x:c r="B153" t="str">
        <x:v>edith</x:v>
      </x:c>
      <x:c r="C153" t="str">
        <x:v>True/kind</x:v>
      </x:c>
      <x:c r="D153" t="str">
        <x:f>INDEX(Data!$C$2:$K$22,MATCH(B153,Data!$B$2:$B$22,0),MATCH(C153,Data!$C$1:$K$1,0))</x:f>
        <x:v>T-=M</x:v>
      </x:c>
      <x:c r="E153" t="str">
        <x:f>UPPER(SUBSTITUTE(TRIM(D153),"1","I"))</x:f>
        <x:v>T-=M</x:v>
      </x:c>
      <x:c r="F153" t="n">
        <x:f>MIN(IFERROR(FIND("^",E153),999),IFERROR(FIND("-",E153),999))</x:f>
        <x:v>2</x:v>
      </x:c>
      <x:c r="G153" t="str">
        <x:f>IF(OR(E153="",F153=999,LEN(E153)&lt;=F153),"",MID(E153,F153+1,99))</x:f>
        <x:v>=M</x:v>
      </x:c>
      <x:c r="H153" t="str">
        <x:f>IF(OR(E153="",F153=999),"",LEFT(E153,F153-1))</x:f>
        <x:v>T</x:v>
      </x:c>
      <x:c r="I153" t="n">
        <x:f>IF(MID(E153,F153,1)="-",0.75,IF(MID(E153,F153,1)="^",1,0))</x:f>
        <x:v>0.75</x:v>
      </x:c>
      <x:c r="J153" t="str">
        <x:f>IF(G153="","",IF(LEN(G153)=1,"=",LEFT(G153,LEN(G153)-1)))</x:f>
        <x:v>=</x:v>
      </x:c>
      <x:c r="K153" t="str">
        <x:f>IF(J153="","",IF(LEFT(J153,1)="=",H153,J153))</x:f>
        <x:v>T</x:v>
      </x:c>
      <x:c r="L153" t="str">
        <x:f>IF(G153="","",RIGHT(G153,1))</x:f>
        <x:v>M</x:v>
      </x:c>
      <x:c r="M153" t="n">
        <x:f>IF(L153="D",5,IF(L153="N",10,IF(L153="I",15,IF(L153="M",40,0))))</x:f>
        <x:v>40</x:v>
      </x:c>
    </x:row>
    <x:row r="154">
      <x:c r="A154" t="str">
        <x:v>edith|Animal</x:v>
      </x:c>
      <x:c r="B154" t="str">
        <x:v>edith</x:v>
      </x:c>
      <x:c r="C154" t="str">
        <x:v>Animal</x:v>
      </x:c>
      <x:c r="D154" t="str">
        <x:f>INDEX(Data!$C$2:$K$22,MATCH(B154,Data!$B$2:$B$22,0),MATCH(C154,Data!$C$1:$K$1,0))</x:f>
        <x:v>A^=I</x:v>
      </x:c>
      <x:c r="E154" t="str">
        <x:f>UPPER(SUBSTITUTE(TRIM(D154),"1","I"))</x:f>
        <x:v>A^=I</x:v>
      </x:c>
      <x:c r="F154" t="n">
        <x:f>MIN(IFERROR(FIND("^",E154),999),IFERROR(FIND("-",E154),999))</x:f>
        <x:v>2</x:v>
      </x:c>
      <x:c r="G154" t="str">
        <x:f>IF(OR(E154="",F154=999,LEN(E154)&lt;=F154),"",MID(E154,F154+1,99))</x:f>
        <x:v>=I</x:v>
      </x:c>
      <x:c r="H154" t="str">
        <x:f>IF(OR(E154="",F154=999),"",LEFT(E154,F154-1))</x:f>
        <x:v>A</x:v>
      </x:c>
      <x:c r="I154" t="n">
        <x:f>IF(MID(E154,F154,1)="-",0.75,IF(MID(E154,F154,1)="^",1,0))</x:f>
        <x:v>1</x:v>
      </x:c>
      <x:c r="J154" t="str">
        <x:f>IF(G154="","",IF(LEN(G154)=1,"=",LEFT(G154,LEN(G154)-1)))</x:f>
        <x:v>=</x:v>
      </x:c>
      <x:c r="K154" t="str">
        <x:f>IF(J154="","",IF(LEFT(J154,1)="=",H154,J154))</x:f>
        <x:v>A</x:v>
      </x:c>
      <x:c r="L154" t="str">
        <x:f>IF(G154="","",RIGHT(G154,1))</x:f>
        <x:v>I</x:v>
      </x:c>
      <x:c r="M154" t="n">
        <x:f>IF(L154="D",5,IF(L154="N",10,IF(L154="I",15,IF(L154="M",40,0))))</x:f>
        <x:v>15</x:v>
      </x:c>
    </x:row>
    <x:row r="155">
      <x:c r="A155" t="str">
        <x:v>sophiah|God</x:v>
      </x:c>
      <x:c r="B155" t="str">
        <x:v>sophiah</x:v>
      </x:c>
      <x:c r="C155" t="str">
        <x:v>God</x:v>
      </x:c>
      <x:c r="D155" t="str">
        <x:f>INDEX(Data!$C$2:$K$22,MATCH(B155,Data!$B$2:$B$22,0),MATCH(C155,Data!$C$1:$K$1,0))</x:f>
        <x:v>Y^=M</x:v>
      </x:c>
      <x:c r="E155" t="str">
        <x:f>UPPER(SUBSTITUTE(TRIM(D155),"1","I"))</x:f>
        <x:v>Y^=M</x:v>
      </x:c>
      <x:c r="F155" t="n">
        <x:f>MIN(IFERROR(FIND("^",E155),999),IFERROR(FIND("-",E155),999))</x:f>
        <x:v>2</x:v>
      </x:c>
      <x:c r="G155" t="str">
        <x:f>IF(OR(E155="",F155=999,LEN(E155)&lt;=F155),"",MID(E155,F155+1,99))</x:f>
        <x:v>=M</x:v>
      </x:c>
      <x:c r="H155" t="str">
        <x:f>IF(OR(E155="",F155=999),"",LEFT(E155,F155-1))</x:f>
        <x:v>Y</x:v>
      </x:c>
      <x:c r="I155" t="n">
        <x:f>IF(MID(E155,F155,1)="-",0.75,IF(MID(E155,F155,1)="^",1,0))</x:f>
        <x:v>1</x:v>
      </x:c>
      <x:c r="J155" t="str">
        <x:f>IF(G155="","",IF(LEN(G155)=1,"=",LEFT(G155,LEN(G155)-1)))</x:f>
        <x:v>=</x:v>
      </x:c>
      <x:c r="K155" t="str">
        <x:f>IF(J155="","",IF(LEFT(J155,1)="=",H155,J155))</x:f>
        <x:v>Y</x:v>
      </x:c>
      <x:c r="L155" t="str">
        <x:f>IF(G155="","",RIGHT(G155,1))</x:f>
        <x:v>M</x:v>
      </x:c>
      <x:c r="M155" t="n">
        <x:f>IF(L155="D",5,IF(L155="N",10,IF(L155="I",15,IF(L155="M",40,0))))</x:f>
        <x:v>40</x:v>
      </x:c>
    </x:row>
    <x:row r="156">
      <x:c r="A156" t="str">
        <x:v>sophiah|Politics</x:v>
      </x:c>
      <x:c r="B156" t="str">
        <x:v>sophiah</x:v>
      </x:c>
      <x:c r="C156" t="str">
        <x:v>Politics</x:v>
      </x:c>
      <x:c r="D156" t="str">
        <x:f>INDEX(Data!$C$2:$K$22,MATCH(B156,Data!$B$2:$B$22,0),MATCH(C156,Data!$C$1:$K$1,0))</x:f>
        <x:v>R^</x:v>
      </x:c>
      <x:c r="E156" t="str">
        <x:f>UPPER(SUBSTITUTE(TRIM(D156),"1","I"))</x:f>
        <x:v>R^</x:v>
      </x:c>
      <x:c r="F156" t="n">
        <x:f>MIN(IFERROR(FIND("^",E156),999),IFERROR(FIND("-",E156),999))</x:f>
        <x:v>2</x:v>
      </x:c>
      <x:c r="G156" t="str">
        <x:f>IF(OR(E156="",F156=999,LEN(E156)&lt;=F156),"",MID(E156,F156+1,99))</x:f>
      </x:c>
      <x:c r="H156" t="str">
        <x:f>IF(OR(E156="",F156=999),"",LEFT(E156,F156-1))</x:f>
        <x:v>R</x:v>
      </x:c>
      <x:c r="I156" t="n">
        <x:f>IF(MID(E156,F156,1)="-",0.75,IF(MID(E156,F156,1)="^",1,0))</x:f>
        <x:v>1</x:v>
      </x:c>
      <x:c r="J156" t="str">
        <x:f>IF(G156="","",IF(LEN(G156)=1,"=",LEFT(G156,LEN(G156)-1)))</x:f>
      </x:c>
      <x:c r="K156" t="str">
        <x:f>IF(J156="","",IF(LEFT(J156,1)="=",H156,J156))</x:f>
      </x:c>
      <x:c r="L156" t="str">
        <x:f>IF(G156="","",RIGHT(G156,1))</x:f>
      </x:c>
      <x:c r="M156" t="n">
        <x:f>IF(L156="D",5,IF(L156="N",10,IF(L156="I",15,IF(L156="M",40,0))))</x:f>
        <x:v>0</x:v>
      </x:c>
    </x:row>
    <x:row r="157">
      <x:c r="A157" t="str">
        <x:v>sophiah|Marriage</x:v>
      </x:c>
      <x:c r="B157" t="str">
        <x:v>sophiah</x:v>
      </x:c>
      <x:c r="C157" t="str">
        <x:v>Marriage</x:v>
      </x:c>
      <x:c r="D157" t="str">
        <x:f>INDEX(Data!$C$2:$K$22,MATCH(B157,Data!$B$2:$B$22,0),MATCH(C157,Data!$C$1:$K$1,0))</x:f>
        <x:v>L-SD</x:v>
      </x:c>
      <x:c r="E157" t="str">
        <x:f>UPPER(SUBSTITUTE(TRIM(D157),"1","I"))</x:f>
        <x:v>L-SD</x:v>
      </x:c>
      <x:c r="F157" t="n">
        <x:f>MIN(IFERROR(FIND("^",E157),999),IFERROR(FIND("-",E157),999))</x:f>
        <x:v>2</x:v>
      </x:c>
      <x:c r="G157" t="str">
        <x:f>IF(OR(E157="",F157=999,LEN(E157)&lt;=F157),"",MID(E157,F157+1,99))</x:f>
        <x:v>SD</x:v>
      </x:c>
      <x:c r="H157" t="str">
        <x:f>IF(OR(E157="",F157=999),"",LEFT(E157,F157-1))</x:f>
        <x:v>L</x:v>
      </x:c>
      <x:c r="I157" t="n">
        <x:f>IF(MID(E157,F157,1)="-",0.75,IF(MID(E157,F157,1)="^",1,0))</x:f>
        <x:v>0.75</x:v>
      </x:c>
      <x:c r="J157" t="str">
        <x:f>IF(G157="","",IF(LEN(G157)=1,"=",LEFT(G157,LEN(G157)-1)))</x:f>
        <x:v>S</x:v>
      </x:c>
      <x:c r="K157" t="str">
        <x:f>IF(J157="","",IF(LEFT(J157,1)="=",H157,J157))</x:f>
        <x:v>S</x:v>
      </x:c>
      <x:c r="L157" t="str">
        <x:f>IF(G157="","",RIGHT(G157,1))</x:f>
        <x:v>D</x:v>
      </x:c>
      <x:c r="M157" t="n">
        <x:f>IF(L157="D",5,IF(L157="N",10,IF(L157="I",15,IF(L157="M",40,0))))</x:f>
        <x:v>5</x:v>
      </x:c>
    </x:row>
    <x:row r="158">
      <x:c r="A158" t="str">
        <x:v>sophiah|Children</x:v>
      </x:c>
      <x:c r="B158" t="str">
        <x:v>sophiah</x:v>
      </x:c>
      <x:c r="C158" t="str">
        <x:v>Children</x:v>
      </x:c>
      <x:c r="D158" t="str">
        <x:f>INDEX(Data!$C$2:$K$22,MATCH(B158,Data!$B$2:$B$22,0),MATCH(C158,Data!$C$1:$K$1,0))</x:f>
        <x:v>Y-=D</x:v>
      </x:c>
      <x:c r="E158" t="str">
        <x:f>UPPER(SUBSTITUTE(TRIM(D158),"1","I"))</x:f>
        <x:v>Y-=D</x:v>
      </x:c>
      <x:c r="F158" t="n">
        <x:f>MIN(IFERROR(FIND("^",E158),999),IFERROR(FIND("-",E158),999))</x:f>
        <x:v>2</x:v>
      </x:c>
      <x:c r="G158" t="str">
        <x:f>IF(OR(E158="",F158=999,LEN(E158)&lt;=F158),"",MID(E158,F158+1,99))</x:f>
        <x:v>=D</x:v>
      </x:c>
      <x:c r="H158" t="str">
        <x:f>IF(OR(E158="",F158=999),"",LEFT(E158,F158-1))</x:f>
        <x:v>Y</x:v>
      </x:c>
      <x:c r="I158" t="n">
        <x:f>IF(MID(E158,F158,1)="-",0.75,IF(MID(E158,F158,1)="^",1,0))</x:f>
        <x:v>0.75</x:v>
      </x:c>
      <x:c r="J158" t="str">
        <x:f>IF(G158="","",IF(LEN(G158)=1,"=",LEFT(G158,LEN(G158)-1)))</x:f>
        <x:v>=</x:v>
      </x:c>
      <x:c r="K158" t="str">
        <x:f>IF(J158="","",IF(LEFT(J158,1)="=",H158,J158))</x:f>
        <x:v>Y</x:v>
      </x:c>
      <x:c r="L158" t="str">
        <x:f>IF(G158="","",RIGHT(G158,1))</x:f>
        <x:v>D</x:v>
      </x:c>
      <x:c r="M158" t="n">
        <x:f>IF(L158="D",5,IF(L158="N",10,IF(L158="I",15,IF(L158="M",40,0))))</x:f>
        <x:v>5</x:v>
      </x:c>
    </x:row>
    <x:row r="159">
      <x:c r="A159" t="str">
        <x:v>sophiah|Ethicity</x:v>
      </x:c>
      <x:c r="B159" t="str">
        <x:v>sophiah</x:v>
      </x:c>
      <x:c r="C159" t="str">
        <x:v>Ethicity</x:v>
      </x:c>
      <x:c r="D159" t="str">
        <x:f>INDEX(Data!$C$2:$K$22,MATCH(B159,Data!$B$2:$B$22,0),MATCH(C159,Data!$C$1:$K$1,0))</x:f>
        <x:v>A^=1</x:v>
      </x:c>
      <x:c r="E159" t="str">
        <x:f>UPPER(SUBSTITUTE(TRIM(D159),"1","I"))</x:f>
        <x:v>A^=I</x:v>
      </x:c>
      <x:c r="F159" t="n">
        <x:f>MIN(IFERROR(FIND("^",E159),999),IFERROR(FIND("-",E159),999))</x:f>
        <x:v>2</x:v>
      </x:c>
      <x:c r="G159" t="str">
        <x:f>IF(OR(E159="",F159=999,LEN(E159)&lt;=F159),"",MID(E159,F159+1,99))</x:f>
        <x:v>=I</x:v>
      </x:c>
      <x:c r="H159" t="str">
        <x:f>IF(OR(E159="",F159=999),"",LEFT(E159,F159-1))</x:f>
        <x:v>A</x:v>
      </x:c>
      <x:c r="I159" t="n">
        <x:f>IF(MID(E159,F159,1)="-",0.75,IF(MID(E159,F159,1)="^",1,0))</x:f>
        <x:v>1</x:v>
      </x:c>
      <x:c r="J159" t="str">
        <x:f>IF(G159="","",IF(LEN(G159)=1,"=",LEFT(G159,LEN(G159)-1)))</x:f>
        <x:v>=</x:v>
      </x:c>
      <x:c r="K159" t="str">
        <x:f>IF(J159="","",IF(LEFT(J159,1)="=",H159,J159))</x:f>
        <x:v>A</x:v>
      </x:c>
      <x:c r="L159" t="str">
        <x:f>IF(G159="","",RIGHT(G159,1))</x:f>
        <x:v>I</x:v>
      </x:c>
      <x:c r="M159" t="n">
        <x:f>IF(L159="D",5,IF(L159="N",10,IF(L159="I",15,IF(L159="M",40,0))))</x:f>
        <x:v>15</x:v>
      </x:c>
    </x:row>
    <x:row r="160">
      <x:c r="A160" t="str">
        <x:v>sophiah|Past</x:v>
      </x:c>
      <x:c r="B160" t="str">
        <x:v>sophiah</x:v>
      </x:c>
      <x:c r="C160" t="str">
        <x:v>Past</x:v>
      </x:c>
      <x:c r="D160" t="str">
        <x:f>INDEX(Data!$C$2:$K$22,MATCH(B160,Data!$B$2:$B$22,0),MATCH(C160,Data!$C$1:$K$1,0))</x:f>
        <x:v>Y-</x:v>
      </x:c>
      <x:c r="E160" t="str">
        <x:f>UPPER(SUBSTITUTE(TRIM(D160),"1","I"))</x:f>
        <x:v>Y-</x:v>
      </x:c>
      <x:c r="F160" t="n">
        <x:f>MIN(IFERROR(FIND("^",E160),999),IFERROR(FIND("-",E160),999))</x:f>
        <x:v>2</x:v>
      </x:c>
      <x:c r="G160" t="str">
        <x:f>IF(OR(E160="",F160=999,LEN(E160)&lt;=F160),"",MID(E160,F160+1,99))</x:f>
      </x:c>
      <x:c r="H160" t="str">
        <x:f>IF(OR(E160="",F160=999),"",LEFT(E160,F160-1))</x:f>
        <x:v>Y</x:v>
      </x:c>
      <x:c r="I160" t="n">
        <x:f>IF(MID(E160,F160,1)="-",0.75,IF(MID(E160,F160,1)="^",1,0))</x:f>
        <x:v>0.75</x:v>
      </x:c>
      <x:c r="J160" t="str">
        <x:f>IF(G160="","",IF(LEN(G160)=1,"=",LEFT(G160,LEN(G160)-1)))</x:f>
      </x:c>
      <x:c r="K160" t="str">
        <x:f>IF(J160="","",IF(LEFT(J160,1)="=",H160,J160))</x:f>
      </x:c>
      <x:c r="L160" t="str">
        <x:f>IF(G160="","",RIGHT(G160,1))</x:f>
      </x:c>
      <x:c r="M160" t="n">
        <x:f>IF(L160="D",5,IF(L160="N",10,IF(L160="I",15,IF(L160="M",40,0))))</x:f>
        <x:v>0</x:v>
      </x:c>
    </x:row>
    <x:row r="161">
      <x:c r="A161" t="str">
        <x:v>sophiah|D/S</x:v>
      </x:c>
      <x:c r="B161" t="str">
        <x:v>sophiah</x:v>
      </x:c>
      <x:c r="C161" t="str">
        <x:v>D/S</x:v>
      </x:c>
      <x:c r="D161" t="str">
        <x:f>INDEX(Data!$C$2:$K$22,MATCH(B161,Data!$B$2:$B$22,0),MATCH(C161,Data!$C$1:$K$1,0))</x:f>
        <x:v>D^SD</x:v>
      </x:c>
      <x:c r="E161" t="str">
        <x:f>UPPER(SUBSTITUTE(TRIM(D161),"1","I"))</x:f>
        <x:v>D^SD</x:v>
      </x:c>
      <x:c r="F161" t="n">
        <x:f>MIN(IFERROR(FIND("^",E161),999),IFERROR(FIND("-",E161),999))</x:f>
        <x:v>2</x:v>
      </x:c>
      <x:c r="G161" t="str">
        <x:f>IF(OR(E161="",F161=999,LEN(E161)&lt;=F161),"",MID(E161,F161+1,99))</x:f>
        <x:v>SD</x:v>
      </x:c>
      <x:c r="H161" t="str">
        <x:f>IF(OR(E161="",F161=999),"",LEFT(E161,F161-1))</x:f>
        <x:v>D</x:v>
      </x:c>
      <x:c r="I161" t="n">
        <x:f>IF(MID(E161,F161,1)="-",0.75,IF(MID(E161,F161,1)="^",1,0))</x:f>
        <x:v>1</x:v>
      </x:c>
      <x:c r="J161" t="str">
        <x:f>IF(G161="","",IF(LEN(G161)=1,"=",LEFT(G161,LEN(G161)-1)))</x:f>
        <x:v>S</x:v>
      </x:c>
      <x:c r="K161" t="str">
        <x:f>IF(J161="","",IF(LEFT(J161,1)="=",H161,J161))</x:f>
        <x:v>S</x:v>
      </x:c>
      <x:c r="L161" t="str">
        <x:f>IF(G161="","",RIGHT(G161,1))</x:f>
        <x:v>D</x:v>
      </x:c>
      <x:c r="M161" t="n">
        <x:f>IF(L161="D",5,IF(L161="N",10,IF(L161="I",15,IF(L161="M",40,0))))</x:f>
        <x:v>5</x:v>
      </x:c>
    </x:row>
    <x:row r="162">
      <x:c r="A162" t="str">
        <x:v>sophiah|True/kind</x:v>
      </x:c>
      <x:c r="B162" t="str">
        <x:v>sophiah</x:v>
      </x:c>
      <x:c r="C162" t="str">
        <x:v>True/kind</x:v>
      </x:c>
      <x:c r="D162" t="str">
        <x:f>INDEX(Data!$C$2:$K$22,MATCH(B162,Data!$B$2:$B$22,0),MATCH(C162,Data!$C$1:$K$1,0))</x:f>
        <x:v>T-KN</x:v>
      </x:c>
      <x:c r="E162" t="str">
        <x:f>UPPER(SUBSTITUTE(TRIM(D162),"1","I"))</x:f>
        <x:v>T-KN</x:v>
      </x:c>
      <x:c r="F162" t="n">
        <x:f>MIN(IFERROR(FIND("^",E162),999),IFERROR(FIND("-",E162),999))</x:f>
        <x:v>2</x:v>
      </x:c>
      <x:c r="G162" t="str">
        <x:f>IF(OR(E162="",F162=999,LEN(E162)&lt;=F162),"",MID(E162,F162+1,99))</x:f>
        <x:v>KN</x:v>
      </x:c>
      <x:c r="H162" t="str">
        <x:f>IF(OR(E162="",F162=999),"",LEFT(E162,F162-1))</x:f>
        <x:v>T</x:v>
      </x:c>
      <x:c r="I162" t="n">
        <x:f>IF(MID(E162,F162,1)="-",0.75,IF(MID(E162,F162,1)="^",1,0))</x:f>
        <x:v>0.75</x:v>
      </x:c>
      <x:c r="J162" t="str">
        <x:f>IF(G162="","",IF(LEN(G162)=1,"=",LEFT(G162,LEN(G162)-1)))</x:f>
        <x:v>K</x:v>
      </x:c>
      <x:c r="K162" t="str">
        <x:f>IF(J162="","",IF(LEFT(J162,1)="=",H162,J162))</x:f>
        <x:v>K</x:v>
      </x:c>
      <x:c r="L162" t="str">
        <x:f>IF(G162="","",RIGHT(G162,1))</x:f>
        <x:v>N</x:v>
      </x:c>
      <x:c r="M162" t="n">
        <x:f>IF(L162="D",5,IF(L162="N",10,IF(L162="I",15,IF(L162="M",40,0))))</x:f>
        <x:v>10</x:v>
      </x:c>
    </x:row>
    <x:row r="163">
      <x:c r="A163" t="str">
        <x:v>sophiah|Animal</x:v>
      </x:c>
      <x:c r="B163" t="str">
        <x:v>sophiah</x:v>
      </x:c>
      <x:c r="C163" t="str">
        <x:v>Animal</x:v>
      </x:c>
      <x:c r="D163" t="str">
        <x:f>INDEX(Data!$C$2:$K$22,MATCH(B163,Data!$B$2:$B$22,0),MATCH(C163,Data!$C$1:$K$1,0))</x:f>
        <x:v>A^=I</x:v>
      </x:c>
      <x:c r="E163" t="str">
        <x:f>UPPER(SUBSTITUTE(TRIM(D163),"1","I"))</x:f>
        <x:v>A^=I</x:v>
      </x:c>
      <x:c r="F163" t="n">
        <x:f>MIN(IFERROR(FIND("^",E163),999),IFERROR(FIND("-",E163),999))</x:f>
        <x:v>2</x:v>
      </x:c>
      <x:c r="G163" t="str">
        <x:f>IF(OR(E163="",F163=999,LEN(E163)&lt;=F163),"",MID(E163,F163+1,99))</x:f>
        <x:v>=I</x:v>
      </x:c>
      <x:c r="H163" t="str">
        <x:f>IF(OR(E163="",F163=999),"",LEFT(E163,F163-1))</x:f>
        <x:v>A</x:v>
      </x:c>
      <x:c r="I163" t="n">
        <x:f>IF(MID(E163,F163,1)="-",0.75,IF(MID(E163,F163,1)="^",1,0))</x:f>
        <x:v>1</x:v>
      </x:c>
      <x:c r="J163" t="str">
        <x:f>IF(G163="","",IF(LEN(G163)=1,"=",LEFT(G163,LEN(G163)-1)))</x:f>
        <x:v>=</x:v>
      </x:c>
      <x:c r="K163" t="str">
        <x:f>IF(J163="","",IF(LEFT(J163,1)="=",H163,J163))</x:f>
        <x:v>A</x:v>
      </x:c>
      <x:c r="L163" t="str">
        <x:f>IF(G163="","",RIGHT(G163,1))</x:f>
        <x:v>I</x:v>
      </x:c>
      <x:c r="M163" t="n">
        <x:f>IF(L163="D",5,IF(L163="N",10,IF(L163="I",15,IF(L163="M",40,0))))</x:f>
        <x:v>15</x:v>
      </x:c>
    </x:row>
    <x:row r="164">
      <x:c r="A164" t="str">
        <x:v>angela|God</x:v>
      </x:c>
      <x:c r="B164" t="str">
        <x:v>angela</x:v>
      </x:c>
      <x:c r="C164" t="str">
        <x:v>God</x:v>
      </x:c>
      <x:c r="D164" t="str">
        <x:f>INDEX(Data!$C$2:$K$22,MATCH(B164,Data!$B$2:$B$22,0),MATCH(C164,Data!$C$1:$K$1,0))</x:f>
        <x:v>Y^=I</x:v>
      </x:c>
      <x:c r="E164" t="str">
        <x:f>UPPER(SUBSTITUTE(TRIM(D164),"1","I"))</x:f>
        <x:v>Y^=I</x:v>
      </x:c>
      <x:c r="F164" t="n">
        <x:f>MIN(IFERROR(FIND("^",E164),999),IFERROR(FIND("-",E164),999))</x:f>
        <x:v>2</x:v>
      </x:c>
      <x:c r="G164" t="str">
        <x:f>IF(OR(E164="",F164=999,LEN(E164)&lt;=F164),"",MID(E164,F164+1,99))</x:f>
        <x:v>=I</x:v>
      </x:c>
      <x:c r="H164" t="str">
        <x:f>IF(OR(E164="",F164=999),"",LEFT(E164,F164-1))</x:f>
        <x:v>Y</x:v>
      </x:c>
      <x:c r="I164" t="n">
        <x:f>IF(MID(E164,F164,1)="-",0.75,IF(MID(E164,F164,1)="^",1,0))</x:f>
        <x:v>1</x:v>
      </x:c>
      <x:c r="J164" t="str">
        <x:f>IF(G164="","",IF(LEN(G164)=1,"=",LEFT(G164,LEN(G164)-1)))</x:f>
        <x:v>=</x:v>
      </x:c>
      <x:c r="K164" t="str">
        <x:f>IF(J164="","",IF(LEFT(J164,1)="=",H164,J164))</x:f>
        <x:v>Y</x:v>
      </x:c>
      <x:c r="L164" t="str">
        <x:f>IF(G164="","",RIGHT(G164,1))</x:f>
        <x:v>I</x:v>
      </x:c>
      <x:c r="M164" t="n">
        <x:f>IF(L164="D",5,IF(L164="N",10,IF(L164="I",15,IF(L164="M",40,0))))</x:f>
        <x:v>15</x:v>
      </x:c>
    </x:row>
    <x:row r="165">
      <x:c r="A165" t="str">
        <x:v>angela|Politics</x:v>
      </x:c>
      <x:c r="B165" t="str">
        <x:v>angela</x:v>
      </x:c>
      <x:c r="C165" t="str">
        <x:v>Politics</x:v>
      </x:c>
      <x:c r="D165" t="str">
        <x:f>INDEX(Data!$C$2:$K$22,MATCH(B165,Data!$B$2:$B$22,0),MATCH(C165,Data!$C$1:$K$1,0))</x:f>
        <x:v>R-=D</x:v>
      </x:c>
      <x:c r="E165" t="str">
        <x:f>UPPER(SUBSTITUTE(TRIM(D165),"1","I"))</x:f>
        <x:v>R-=D</x:v>
      </x:c>
      <x:c r="F165" t="n">
        <x:f>MIN(IFERROR(FIND("^",E165),999),IFERROR(FIND("-",E165),999))</x:f>
        <x:v>2</x:v>
      </x:c>
      <x:c r="G165" t="str">
        <x:f>IF(OR(E165="",F165=999,LEN(E165)&lt;=F165),"",MID(E165,F165+1,99))</x:f>
        <x:v>=D</x:v>
      </x:c>
      <x:c r="H165" t="str">
        <x:f>IF(OR(E165="",F165=999),"",LEFT(E165,F165-1))</x:f>
        <x:v>R</x:v>
      </x:c>
      <x:c r="I165" t="n">
        <x:f>IF(MID(E165,F165,1)="-",0.75,IF(MID(E165,F165,1)="^",1,0))</x:f>
        <x:v>0.75</x:v>
      </x:c>
      <x:c r="J165" t="str">
        <x:f>IF(G165="","",IF(LEN(G165)=1,"=",LEFT(G165,LEN(G165)-1)))</x:f>
        <x:v>=</x:v>
      </x:c>
      <x:c r="K165" t="str">
        <x:f>IF(J165="","",IF(LEFT(J165,1)="=",H165,J165))</x:f>
        <x:v>R</x:v>
      </x:c>
      <x:c r="L165" t="str">
        <x:f>IF(G165="","",RIGHT(G165,1))</x:f>
        <x:v>D</x:v>
      </x:c>
      <x:c r="M165" t="n">
        <x:f>IF(L165="D",5,IF(L165="N",10,IF(L165="I",15,IF(L165="M",40,0))))</x:f>
        <x:v>5</x:v>
      </x:c>
    </x:row>
    <x:row r="166">
      <x:c r="A166" t="str">
        <x:v>angela|Marriage</x:v>
      </x:c>
      <x:c r="B166" t="str">
        <x:v>angela</x:v>
      </x:c>
      <x:c r="C166" t="str">
        <x:v>Marriage</x:v>
      </x:c>
      <x:c r="D166" t="str">
        <x:f>INDEX(Data!$C$2:$K$22,MATCH(B166,Data!$B$2:$B$22,0),MATCH(C166,Data!$C$1:$K$1,0))</x:f>
        <x:v>L-SI</x:v>
      </x:c>
      <x:c r="E166" t="str">
        <x:f>UPPER(SUBSTITUTE(TRIM(D166),"1","I"))</x:f>
        <x:v>L-SI</x:v>
      </x:c>
      <x:c r="F166" t="n">
        <x:f>MIN(IFERROR(FIND("^",E166),999),IFERROR(FIND("-",E166),999))</x:f>
        <x:v>2</x:v>
      </x:c>
      <x:c r="G166" t="str">
        <x:f>IF(OR(E166="",F166=999,LEN(E166)&lt;=F166),"",MID(E166,F166+1,99))</x:f>
        <x:v>SI</x:v>
      </x:c>
      <x:c r="H166" t="str">
        <x:f>IF(OR(E166="",F166=999),"",LEFT(E166,F166-1))</x:f>
        <x:v>L</x:v>
      </x:c>
      <x:c r="I166" t="n">
        <x:f>IF(MID(E166,F166,1)="-",0.75,IF(MID(E166,F166,1)="^",1,0))</x:f>
        <x:v>0.75</x:v>
      </x:c>
      <x:c r="J166" t="str">
        <x:f>IF(G166="","",IF(LEN(G166)=1,"=",LEFT(G166,LEN(G166)-1)))</x:f>
        <x:v>S</x:v>
      </x:c>
      <x:c r="K166" t="str">
        <x:f>IF(J166="","",IF(LEFT(J166,1)="=",H166,J166))</x:f>
        <x:v>S</x:v>
      </x:c>
      <x:c r="L166" t="str">
        <x:f>IF(G166="","",RIGHT(G166,1))</x:f>
        <x:v>I</x:v>
      </x:c>
      <x:c r="M166" t="n">
        <x:f>IF(L166="D",5,IF(L166="N",10,IF(L166="I",15,IF(L166="M",40,0))))</x:f>
        <x:v>15</x:v>
      </x:c>
    </x:row>
    <x:row r="167">
      <x:c r="A167" t="str">
        <x:v>angela|Children</x:v>
      </x:c>
      <x:c r="B167" t="str">
        <x:v>angela</x:v>
      </x:c>
      <x:c r="C167" t="str">
        <x:v>Children</x:v>
      </x:c>
      <x:c r="D167" t="str">
        <x:f>INDEX(Data!$C$2:$K$22,MATCH(B167,Data!$B$2:$B$22,0),MATCH(C167,Data!$C$1:$K$1,0))</x:f>
        <x:v>Y^=M</x:v>
      </x:c>
      <x:c r="E167" t="str">
        <x:f>UPPER(SUBSTITUTE(TRIM(D167),"1","I"))</x:f>
        <x:v>Y^=M</x:v>
      </x:c>
      <x:c r="F167" t="n">
        <x:f>MIN(IFERROR(FIND("^",E167),999),IFERROR(FIND("-",E167),999))</x:f>
        <x:v>2</x:v>
      </x:c>
      <x:c r="G167" t="str">
        <x:f>IF(OR(E167="",F167=999,LEN(E167)&lt;=F167),"",MID(E167,F167+1,99))</x:f>
        <x:v>=M</x:v>
      </x:c>
      <x:c r="H167" t="str">
        <x:f>IF(OR(E167="",F167=999),"",LEFT(E167,F167-1))</x:f>
        <x:v>Y</x:v>
      </x:c>
      <x:c r="I167" t="n">
        <x:f>IF(MID(E167,F167,1)="-",0.75,IF(MID(E167,F167,1)="^",1,0))</x:f>
        <x:v>1</x:v>
      </x:c>
      <x:c r="J167" t="str">
        <x:f>IF(G167="","",IF(LEN(G167)=1,"=",LEFT(G167,LEN(G167)-1)))</x:f>
        <x:v>=</x:v>
      </x:c>
      <x:c r="K167" t="str">
        <x:f>IF(J167="","",IF(LEFT(J167,1)="=",H167,J167))</x:f>
        <x:v>Y</x:v>
      </x:c>
      <x:c r="L167" t="str">
        <x:f>IF(G167="","",RIGHT(G167,1))</x:f>
        <x:v>M</x:v>
      </x:c>
      <x:c r="M167" t="n">
        <x:f>IF(L167="D",5,IF(L167="N",10,IF(L167="I",15,IF(L167="M",40,0))))</x:f>
        <x:v>40</x:v>
      </x:c>
    </x:row>
    <x:row r="168">
      <x:c r="A168" t="str">
        <x:v>angela|Ethicity</x:v>
      </x:c>
      <x:c r="B168" t="str">
        <x:v>angela</x:v>
      </x:c>
      <x:c r="C168" t="str">
        <x:v>Ethicity</x:v>
      </x:c>
      <x:c r="D168" t="str">
        <x:f>INDEX(Data!$C$2:$K$22,MATCH(B168,Data!$B$2:$B$22,0),MATCH(C168,Data!$C$1:$K$1,0))</x:f>
        <x:v>A^</x:v>
      </x:c>
      <x:c r="E168" t="str">
        <x:f>UPPER(SUBSTITUTE(TRIM(D168),"1","I"))</x:f>
        <x:v>A^</x:v>
      </x:c>
      <x:c r="F168" t="n">
        <x:f>MIN(IFERROR(FIND("^",E168),999),IFERROR(FIND("-",E168),999))</x:f>
        <x:v>2</x:v>
      </x:c>
      <x:c r="G168" t="str">
        <x:f>IF(OR(E168="",F168=999,LEN(E168)&lt;=F168),"",MID(E168,F168+1,99))</x:f>
      </x:c>
      <x:c r="H168" t="str">
        <x:f>IF(OR(E168="",F168=999),"",LEFT(E168,F168-1))</x:f>
        <x:v>A</x:v>
      </x:c>
      <x:c r="I168" t="n">
        <x:f>IF(MID(E168,F168,1)="-",0.75,IF(MID(E168,F168,1)="^",1,0))</x:f>
        <x:v>1</x:v>
      </x:c>
      <x:c r="J168" t="str">
        <x:f>IF(G168="","",IF(LEN(G168)=1,"=",LEFT(G168,LEN(G168)-1)))</x:f>
      </x:c>
      <x:c r="K168" t="str">
        <x:f>IF(J168="","",IF(LEFT(J168,1)="=",H168,J168))</x:f>
      </x:c>
      <x:c r="L168" t="str">
        <x:f>IF(G168="","",RIGHT(G168,1))</x:f>
      </x:c>
      <x:c r="M168" t="n">
        <x:f>IF(L168="D",5,IF(L168="N",10,IF(L168="I",15,IF(L168="M",40,0))))</x:f>
        <x:v>0</x:v>
      </x:c>
    </x:row>
    <x:row r="169">
      <x:c r="A169" t="str">
        <x:v>angela|Past</x:v>
      </x:c>
      <x:c r="B169" t="str">
        <x:v>angela</x:v>
      </x:c>
      <x:c r="C169" t="str">
        <x:v>Past</x:v>
      </x:c>
      <x:c r="D169" t="str">
        <x:f>INDEX(Data!$C$2:$K$22,MATCH(B169,Data!$B$2:$B$22,0),MATCH(C169,Data!$C$1:$K$1,0))</x:f>
        <x:v>N^=I</x:v>
      </x:c>
      <x:c r="E169" t="str">
        <x:f>UPPER(SUBSTITUTE(TRIM(D169),"1","I"))</x:f>
        <x:v>N^=I</x:v>
      </x:c>
      <x:c r="F169" t="n">
        <x:f>MIN(IFERROR(FIND("^",E169),999),IFERROR(FIND("-",E169),999))</x:f>
        <x:v>2</x:v>
      </x:c>
      <x:c r="G169" t="str">
        <x:f>IF(OR(E169="",F169=999,LEN(E169)&lt;=F169),"",MID(E169,F169+1,99))</x:f>
        <x:v>=I</x:v>
      </x:c>
      <x:c r="H169" t="str">
        <x:f>IF(OR(E169="",F169=999),"",LEFT(E169,F169-1))</x:f>
        <x:v>N</x:v>
      </x:c>
      <x:c r="I169" t="n">
        <x:f>IF(MID(E169,F169,1)="-",0.75,IF(MID(E169,F169,1)="^",1,0))</x:f>
        <x:v>1</x:v>
      </x:c>
      <x:c r="J169" t="str">
        <x:f>IF(G169="","",IF(LEN(G169)=1,"=",LEFT(G169,LEN(G169)-1)))</x:f>
        <x:v>=</x:v>
      </x:c>
      <x:c r="K169" t="str">
        <x:f>IF(J169="","",IF(LEFT(J169,1)="=",H169,J169))</x:f>
        <x:v>N</x:v>
      </x:c>
      <x:c r="L169" t="str">
        <x:f>IF(G169="","",RIGHT(G169,1))</x:f>
        <x:v>I</x:v>
      </x:c>
      <x:c r="M169" t="n">
        <x:f>IF(L169="D",5,IF(L169="N",10,IF(L169="I",15,IF(L169="M",40,0))))</x:f>
        <x:v>15</x:v>
      </x:c>
    </x:row>
    <x:row r="170">
      <x:c r="A170" t="str">
        <x:v>angela|D/S</x:v>
      </x:c>
      <x:c r="B170" t="str">
        <x:v>angela</x:v>
      </x:c>
      <x:c r="C170" t="str">
        <x:v>D/S</x:v>
      </x:c>
      <x:c r="D170" t="str">
        <x:f>INDEX(Data!$C$2:$K$22,MATCH(B170,Data!$B$2:$B$22,0),MATCH(C170,Data!$C$1:$K$1,0))</x:f>
        <x:v>S-DD</x:v>
      </x:c>
      <x:c r="E170" t="str">
        <x:f>UPPER(SUBSTITUTE(TRIM(D170),"1","I"))</x:f>
        <x:v>S-DD</x:v>
      </x:c>
      <x:c r="F170" t="n">
        <x:f>MIN(IFERROR(FIND("^",E170),999),IFERROR(FIND("-",E170),999))</x:f>
        <x:v>2</x:v>
      </x:c>
      <x:c r="G170" t="str">
        <x:f>IF(OR(E170="",F170=999,LEN(E170)&lt;=F170),"",MID(E170,F170+1,99))</x:f>
        <x:v>DD</x:v>
      </x:c>
      <x:c r="H170" t="str">
        <x:f>IF(OR(E170="",F170=999),"",LEFT(E170,F170-1))</x:f>
        <x:v>S</x:v>
      </x:c>
      <x:c r="I170" t="n">
        <x:f>IF(MID(E170,F170,1)="-",0.75,IF(MID(E170,F170,1)="^",1,0))</x:f>
        <x:v>0.75</x:v>
      </x:c>
      <x:c r="J170" t="str">
        <x:f>IF(G170="","",IF(LEN(G170)=1,"=",LEFT(G170,LEN(G170)-1)))</x:f>
        <x:v>D</x:v>
      </x:c>
      <x:c r="K170" t="str">
        <x:f>IF(J170="","",IF(LEFT(J170,1)="=",H170,J170))</x:f>
        <x:v>D</x:v>
      </x:c>
      <x:c r="L170" t="str">
        <x:f>IF(G170="","",RIGHT(G170,1))</x:f>
        <x:v>D</x:v>
      </x:c>
      <x:c r="M170" t="n">
        <x:f>IF(L170="D",5,IF(L170="N",10,IF(L170="I",15,IF(L170="M",40,0))))</x:f>
        <x:v>5</x:v>
      </x:c>
    </x:row>
    <x:row r="171">
      <x:c r="A171" t="str">
        <x:v>angela|True/kind</x:v>
      </x:c>
      <x:c r="B171" t="str">
        <x:v>angela</x:v>
      </x:c>
      <x:c r="C171" t="str">
        <x:v>True/kind</x:v>
      </x:c>
      <x:c r="D171" t="str">
        <x:f>INDEX(Data!$C$2:$K$22,MATCH(B171,Data!$B$2:$B$22,0),MATCH(C171,Data!$C$1:$K$1,0))</x:f>
        <x:v>K^TN</x:v>
      </x:c>
      <x:c r="E171" t="str">
        <x:f>UPPER(SUBSTITUTE(TRIM(D171),"1","I"))</x:f>
        <x:v>K^TN</x:v>
      </x:c>
      <x:c r="F171" t="n">
        <x:f>MIN(IFERROR(FIND("^",E171),999),IFERROR(FIND("-",E171),999))</x:f>
        <x:v>2</x:v>
      </x:c>
      <x:c r="G171" t="str">
        <x:f>IF(OR(E171="",F171=999,LEN(E171)&lt;=F171),"",MID(E171,F171+1,99))</x:f>
        <x:v>TN</x:v>
      </x:c>
      <x:c r="H171" t="str">
        <x:f>IF(OR(E171="",F171=999),"",LEFT(E171,F171-1))</x:f>
        <x:v>K</x:v>
      </x:c>
      <x:c r="I171" t="n">
        <x:f>IF(MID(E171,F171,1)="-",0.75,IF(MID(E171,F171,1)="^",1,0))</x:f>
        <x:v>1</x:v>
      </x:c>
      <x:c r="J171" t="str">
        <x:f>IF(G171="","",IF(LEN(G171)=1,"=",LEFT(G171,LEN(G171)-1)))</x:f>
        <x:v>T</x:v>
      </x:c>
      <x:c r="K171" t="str">
        <x:f>IF(J171="","",IF(LEFT(J171,1)="=",H171,J171))</x:f>
        <x:v>T</x:v>
      </x:c>
      <x:c r="L171" t="str">
        <x:f>IF(G171="","",RIGHT(G171,1))</x:f>
        <x:v>N</x:v>
      </x:c>
      <x:c r="M171" t="n">
        <x:f>IF(L171="D",5,IF(L171="N",10,IF(L171="I",15,IF(L171="M",40,0))))</x:f>
        <x:v>10</x:v>
      </x:c>
    </x:row>
    <x:row r="172">
      <x:c r="A172" t="str">
        <x:v>angela|Animal</x:v>
      </x:c>
      <x:c r="B172" t="str">
        <x:v>angela</x:v>
      </x:c>
      <x:c r="C172" t="str">
        <x:v>Animal</x:v>
      </x:c>
      <x:c r="D172" t="str">
        <x:f>INDEX(Data!$C$2:$K$22,MATCH(B172,Data!$B$2:$B$22,0),MATCH(C172,Data!$C$1:$K$1,0))</x:f>
        <x:v>A^=N</x:v>
      </x:c>
      <x:c r="E172" t="str">
        <x:f>UPPER(SUBSTITUTE(TRIM(D172),"1","I"))</x:f>
        <x:v>A^=N</x:v>
      </x:c>
      <x:c r="F172" t="n">
        <x:f>MIN(IFERROR(FIND("^",E172),999),IFERROR(FIND("-",E172),999))</x:f>
        <x:v>2</x:v>
      </x:c>
      <x:c r="G172" t="str">
        <x:f>IF(OR(E172="",F172=999,LEN(E172)&lt;=F172),"",MID(E172,F172+1,99))</x:f>
        <x:v>=N</x:v>
      </x:c>
      <x:c r="H172" t="str">
        <x:f>IF(OR(E172="",F172=999),"",LEFT(E172,F172-1))</x:f>
        <x:v>A</x:v>
      </x:c>
      <x:c r="I172" t="n">
        <x:f>IF(MID(E172,F172,1)="-",0.75,IF(MID(E172,F172,1)="^",1,0))</x:f>
        <x:v>1</x:v>
      </x:c>
      <x:c r="J172" t="str">
        <x:f>IF(G172="","",IF(LEN(G172)=1,"=",LEFT(G172,LEN(G172)-1)))</x:f>
        <x:v>=</x:v>
      </x:c>
      <x:c r="K172" t="str">
        <x:f>IF(J172="","",IF(LEFT(J172,1)="=",H172,J172))</x:f>
        <x:v>A</x:v>
      </x:c>
      <x:c r="L172" t="str">
        <x:f>IF(G172="","",RIGHT(G172,1))</x:f>
        <x:v>N</x:v>
      </x:c>
      <x:c r="M172" t="n">
        <x:f>IF(L172="D",5,IF(L172="N",10,IF(L172="I",15,IF(L172="M",40,0))))</x:f>
        <x:v>10</x:v>
      </x:c>
    </x:row>
    <x:row r="173">
      <x:c r="A173" t="str">
        <x:v>issabel|God</x:v>
      </x:c>
      <x:c r="B173" t="str">
        <x:v>issabel</x:v>
      </x:c>
      <x:c r="C173" t="str">
        <x:v>God</x:v>
      </x:c>
      <x:c r="D173" t="str">
        <x:f>INDEX(Data!$C$2:$K$22,MATCH(B173,Data!$B$2:$B$22,0),MATCH(C173,Data!$C$1:$K$1,0))</x:f>
        <x:v>Y-</x:v>
      </x:c>
      <x:c r="E173" t="str">
        <x:f>UPPER(SUBSTITUTE(TRIM(D173),"1","I"))</x:f>
        <x:v>Y-</x:v>
      </x:c>
      <x:c r="F173" t="n">
        <x:f>MIN(IFERROR(FIND("^",E173),999),IFERROR(FIND("-",E173),999))</x:f>
        <x:v>2</x:v>
      </x:c>
      <x:c r="G173" t="str">
        <x:f>IF(OR(E173="",F173=999,LEN(E173)&lt;=F173),"",MID(E173,F173+1,99))</x:f>
      </x:c>
      <x:c r="H173" t="str">
        <x:f>IF(OR(E173="",F173=999),"",LEFT(E173,F173-1))</x:f>
        <x:v>Y</x:v>
      </x:c>
      <x:c r="I173" t="n">
        <x:f>IF(MID(E173,F173,1)="-",0.75,IF(MID(E173,F173,1)="^",1,0))</x:f>
        <x:v>0.75</x:v>
      </x:c>
      <x:c r="J173" t="str">
        <x:f>IF(G173="","",IF(LEN(G173)=1,"=",LEFT(G173,LEN(G173)-1)))</x:f>
      </x:c>
      <x:c r="K173" t="str">
        <x:f>IF(J173="","",IF(LEFT(J173,1)="=",H173,J173))</x:f>
      </x:c>
      <x:c r="L173" t="str">
        <x:f>IF(G173="","",RIGHT(G173,1))</x:f>
      </x:c>
      <x:c r="M173" t="n">
        <x:f>IF(L173="D",5,IF(L173="N",10,IF(L173="I",15,IF(L173="M",40,0))))</x:f>
        <x:v>0</x:v>
      </x:c>
    </x:row>
    <x:row r="174">
      <x:c r="A174" t="str">
        <x:v>issabel|Politics</x:v>
      </x:c>
      <x:c r="B174" t="str">
        <x:v>issabel</x:v>
      </x:c>
      <x:c r="C174" t="str">
        <x:v>Politics</x:v>
      </x:c>
      <x:c r="D174" t="str">
        <x:f>INDEX(Data!$C$2:$K$22,MATCH(B174,Data!$B$2:$B$22,0),MATCH(C174,Data!$C$1:$K$1,0))</x:f>
        <x:v>L^=I</x:v>
      </x:c>
      <x:c r="E174" t="str">
        <x:f>UPPER(SUBSTITUTE(TRIM(D174),"1","I"))</x:f>
        <x:v>L^=I</x:v>
      </x:c>
      <x:c r="F174" t="n">
        <x:f>MIN(IFERROR(FIND("^",E174),999),IFERROR(FIND("-",E174),999))</x:f>
        <x:v>2</x:v>
      </x:c>
      <x:c r="G174" t="str">
        <x:f>IF(OR(E174="",F174=999,LEN(E174)&lt;=F174),"",MID(E174,F174+1,99))</x:f>
        <x:v>=I</x:v>
      </x:c>
      <x:c r="H174" t="str">
        <x:f>IF(OR(E174="",F174=999),"",LEFT(E174,F174-1))</x:f>
        <x:v>L</x:v>
      </x:c>
      <x:c r="I174" t="n">
        <x:f>IF(MID(E174,F174,1)="-",0.75,IF(MID(E174,F174,1)="^",1,0))</x:f>
        <x:v>1</x:v>
      </x:c>
      <x:c r="J174" t="str">
        <x:f>IF(G174="","",IF(LEN(G174)=1,"=",LEFT(G174,LEN(G174)-1)))</x:f>
        <x:v>=</x:v>
      </x:c>
      <x:c r="K174" t="str">
        <x:f>IF(J174="","",IF(LEFT(J174,1)="=",H174,J174))</x:f>
        <x:v>L</x:v>
      </x:c>
      <x:c r="L174" t="str">
        <x:f>IF(G174="","",RIGHT(G174,1))</x:f>
        <x:v>I</x:v>
      </x:c>
      <x:c r="M174" t="n">
        <x:f>IF(L174="D",5,IF(L174="N",10,IF(L174="I",15,IF(L174="M",40,0))))</x:f>
        <x:v>15</x:v>
      </x:c>
    </x:row>
    <x:row r="175">
      <x:c r="A175" t="str">
        <x:v>issabel|Marriage</x:v>
      </x:c>
      <x:c r="B175" t="str">
        <x:v>issabel</x:v>
      </x:c>
      <x:c r="C175" t="str">
        <x:v>Marriage</x:v>
      </x:c>
      <x:c r="D175" t="str">
        <x:f>INDEX(Data!$C$2:$K$22,MATCH(B175,Data!$B$2:$B$22,0),MATCH(C175,Data!$C$1:$K$1,0))</x:f>
        <x:v>S-LN</x:v>
      </x:c>
      <x:c r="E175" t="str">
        <x:f>UPPER(SUBSTITUTE(TRIM(D175),"1","I"))</x:f>
        <x:v>S-LN</x:v>
      </x:c>
      <x:c r="F175" t="n">
        <x:f>MIN(IFERROR(FIND("^",E175),999),IFERROR(FIND("-",E175),999))</x:f>
        <x:v>2</x:v>
      </x:c>
      <x:c r="G175" t="str">
        <x:f>IF(OR(E175="",F175=999,LEN(E175)&lt;=F175),"",MID(E175,F175+1,99))</x:f>
        <x:v>LN</x:v>
      </x:c>
      <x:c r="H175" t="str">
        <x:f>IF(OR(E175="",F175=999),"",LEFT(E175,F175-1))</x:f>
        <x:v>S</x:v>
      </x:c>
      <x:c r="I175" t="n">
        <x:f>IF(MID(E175,F175,1)="-",0.75,IF(MID(E175,F175,1)="^",1,0))</x:f>
        <x:v>0.75</x:v>
      </x:c>
      <x:c r="J175" t="str">
        <x:f>IF(G175="","",IF(LEN(G175)=1,"=",LEFT(G175,LEN(G175)-1)))</x:f>
        <x:v>L</x:v>
      </x:c>
      <x:c r="K175" t="str">
        <x:f>IF(J175="","",IF(LEFT(J175,1)="=",H175,J175))</x:f>
        <x:v>L</x:v>
      </x:c>
      <x:c r="L175" t="str">
        <x:f>IF(G175="","",RIGHT(G175,1))</x:f>
        <x:v>N</x:v>
      </x:c>
      <x:c r="M175" t="n">
        <x:f>IF(L175="D",5,IF(L175="N",10,IF(L175="I",15,IF(L175="M",40,0))))</x:f>
        <x:v>10</x:v>
      </x:c>
    </x:row>
    <x:row r="176">
      <x:c r="A176" t="str">
        <x:v>issabel|Children</x:v>
      </x:c>
      <x:c r="B176" t="str">
        <x:v>issabel</x:v>
      </x:c>
      <x:c r="C176" t="str">
        <x:v>Children</x:v>
      </x:c>
      <x:c r="D176" t="str">
        <x:f>INDEX(Data!$C$2:$K$22,MATCH(B176,Data!$B$2:$B$22,0),MATCH(C176,Data!$C$1:$K$1,0))</x:f>
        <x:v>Y^=I</x:v>
      </x:c>
      <x:c r="E176" t="str">
        <x:f>UPPER(SUBSTITUTE(TRIM(D176),"1","I"))</x:f>
        <x:v>Y^=I</x:v>
      </x:c>
      <x:c r="F176" t="n">
        <x:f>MIN(IFERROR(FIND("^",E176),999),IFERROR(FIND("-",E176),999))</x:f>
        <x:v>2</x:v>
      </x:c>
      <x:c r="G176" t="str">
        <x:f>IF(OR(E176="",F176=999,LEN(E176)&lt;=F176),"",MID(E176,F176+1,99))</x:f>
        <x:v>=I</x:v>
      </x:c>
      <x:c r="H176" t="str">
        <x:f>IF(OR(E176="",F176=999),"",LEFT(E176,F176-1))</x:f>
        <x:v>Y</x:v>
      </x:c>
      <x:c r="I176" t="n">
        <x:f>IF(MID(E176,F176,1)="-",0.75,IF(MID(E176,F176,1)="^",1,0))</x:f>
        <x:v>1</x:v>
      </x:c>
      <x:c r="J176" t="str">
        <x:f>IF(G176="","",IF(LEN(G176)=1,"=",LEFT(G176,LEN(G176)-1)))</x:f>
        <x:v>=</x:v>
      </x:c>
      <x:c r="K176" t="str">
        <x:f>IF(J176="","",IF(LEFT(J176,1)="=",H176,J176))</x:f>
        <x:v>Y</x:v>
      </x:c>
      <x:c r="L176" t="str">
        <x:f>IF(G176="","",RIGHT(G176,1))</x:f>
        <x:v>I</x:v>
      </x:c>
      <x:c r="M176" t="n">
        <x:f>IF(L176="D",5,IF(L176="N",10,IF(L176="I",15,IF(L176="M",40,0))))</x:f>
        <x:v>15</x:v>
      </x:c>
    </x:row>
    <x:row r="177">
      <x:c r="A177" t="str">
        <x:v>issabel|Ethicity</x:v>
      </x:c>
      <x:c r="B177" t="str">
        <x:v>issabel</x:v>
      </x:c>
      <x:c r="C177" t="str">
        <x:v>Ethicity</x:v>
      </x:c>
      <x:c r="D177" t="str">
        <x:f>INDEX(Data!$C$2:$K$22,MATCH(B177,Data!$B$2:$B$22,0),MATCH(C177,Data!$C$1:$K$1,0))</x:f>
        <x:v>A^=M</x:v>
      </x:c>
      <x:c r="E177" t="str">
        <x:f>UPPER(SUBSTITUTE(TRIM(D177),"1","I"))</x:f>
        <x:v>A^=M</x:v>
      </x:c>
      <x:c r="F177" t="n">
        <x:f>MIN(IFERROR(FIND("^",E177),999),IFERROR(FIND("-",E177),999))</x:f>
        <x:v>2</x:v>
      </x:c>
      <x:c r="G177" t="str">
        <x:f>IF(OR(E177="",F177=999,LEN(E177)&lt;=F177),"",MID(E177,F177+1,99))</x:f>
        <x:v>=M</x:v>
      </x:c>
      <x:c r="H177" t="str">
        <x:f>IF(OR(E177="",F177=999),"",LEFT(E177,F177-1))</x:f>
        <x:v>A</x:v>
      </x:c>
      <x:c r="I177" t="n">
        <x:f>IF(MID(E177,F177,1)="-",0.75,IF(MID(E177,F177,1)="^",1,0))</x:f>
        <x:v>1</x:v>
      </x:c>
      <x:c r="J177" t="str">
        <x:f>IF(G177="","",IF(LEN(G177)=1,"=",LEFT(G177,LEN(G177)-1)))</x:f>
        <x:v>=</x:v>
      </x:c>
      <x:c r="K177" t="str">
        <x:f>IF(J177="","",IF(LEFT(J177,1)="=",H177,J177))</x:f>
        <x:v>A</x:v>
      </x:c>
      <x:c r="L177" t="str">
        <x:f>IF(G177="","",RIGHT(G177,1))</x:f>
        <x:v>M</x:v>
      </x:c>
      <x:c r="M177" t="n">
        <x:f>IF(L177="D",5,IF(L177="N",10,IF(L177="I",15,IF(L177="M",40,0))))</x:f>
        <x:v>40</x:v>
      </x:c>
    </x:row>
    <x:row r="178">
      <x:c r="A178" t="str">
        <x:v>issabel|Past</x:v>
      </x:c>
      <x:c r="B178" t="str">
        <x:v>issabel</x:v>
      </x:c>
      <x:c r="C178" t="str">
        <x:v>Past</x:v>
      </x:c>
      <x:c r="D178" t="str">
        <x:f>INDEX(Data!$C$2:$K$22,MATCH(B178,Data!$B$2:$B$22,0),MATCH(C178,Data!$C$1:$K$1,0))</x:f>
        <x:v>Y-NN</x:v>
      </x:c>
      <x:c r="E178" t="str">
        <x:f>UPPER(SUBSTITUTE(TRIM(D178),"1","I"))</x:f>
        <x:v>Y-NN</x:v>
      </x:c>
      <x:c r="F178" t="n">
        <x:f>MIN(IFERROR(FIND("^",E178),999),IFERROR(FIND("-",E178),999))</x:f>
        <x:v>2</x:v>
      </x:c>
      <x:c r="G178" t="str">
        <x:f>IF(OR(E178="",F178=999,LEN(E178)&lt;=F178),"",MID(E178,F178+1,99))</x:f>
        <x:v>NN</x:v>
      </x:c>
      <x:c r="H178" t="str">
        <x:f>IF(OR(E178="",F178=999),"",LEFT(E178,F178-1))</x:f>
        <x:v>Y</x:v>
      </x:c>
      <x:c r="I178" t="n">
        <x:f>IF(MID(E178,F178,1)="-",0.75,IF(MID(E178,F178,1)="^",1,0))</x:f>
        <x:v>0.75</x:v>
      </x:c>
      <x:c r="J178" t="str">
        <x:f>IF(G178="","",IF(LEN(G178)=1,"=",LEFT(G178,LEN(G178)-1)))</x:f>
        <x:v>N</x:v>
      </x:c>
      <x:c r="K178" t="str">
        <x:f>IF(J178="","",IF(LEFT(J178,1)="=",H178,J178))</x:f>
        <x:v>N</x:v>
      </x:c>
      <x:c r="L178" t="str">
        <x:f>IF(G178="","",RIGHT(G178,1))</x:f>
        <x:v>N</x:v>
      </x:c>
      <x:c r="M178" t="n">
        <x:f>IF(L178="D",5,IF(L178="N",10,IF(L178="I",15,IF(L178="M",40,0))))</x:f>
        <x:v>10</x:v>
      </x:c>
    </x:row>
    <x:row r="179">
      <x:c r="A179" t="str">
        <x:v>issabel|D/S</x:v>
      </x:c>
      <x:c r="B179" t="str">
        <x:v>issabel</x:v>
      </x:c>
      <x:c r="C179" t="str">
        <x:v>D/S</x:v>
      </x:c>
      <x:c r="D179" t="str">
        <x:f>INDEX(Data!$C$2:$K$22,MATCH(B179,Data!$B$2:$B$22,0),MATCH(C179,Data!$C$1:$K$1,0))</x:f>
        <x:v>D^</x:v>
      </x:c>
      <x:c r="E179" t="str">
        <x:f>UPPER(SUBSTITUTE(TRIM(D179),"1","I"))</x:f>
        <x:v>D^</x:v>
      </x:c>
      <x:c r="F179" t="n">
        <x:f>MIN(IFERROR(FIND("^",E179),999),IFERROR(FIND("-",E179),999))</x:f>
        <x:v>2</x:v>
      </x:c>
      <x:c r="G179" t="str">
        <x:f>IF(OR(E179="",F179=999,LEN(E179)&lt;=F179),"",MID(E179,F179+1,99))</x:f>
      </x:c>
      <x:c r="H179" t="str">
        <x:f>IF(OR(E179="",F179=999),"",LEFT(E179,F179-1))</x:f>
        <x:v>D</x:v>
      </x:c>
      <x:c r="I179" t="n">
        <x:f>IF(MID(E179,F179,1)="-",0.75,IF(MID(E179,F179,1)="^",1,0))</x:f>
        <x:v>1</x:v>
      </x:c>
      <x:c r="J179" t="str">
        <x:f>IF(G179="","",IF(LEN(G179)=1,"=",LEFT(G179,LEN(G179)-1)))</x:f>
      </x:c>
      <x:c r="K179" t="str">
        <x:f>IF(J179="","",IF(LEFT(J179,1)="=",H179,J179))</x:f>
      </x:c>
      <x:c r="L179" t="str">
        <x:f>IF(G179="","",RIGHT(G179,1))</x:f>
      </x:c>
      <x:c r="M179" t="n">
        <x:f>IF(L179="D",5,IF(L179="N",10,IF(L179="I",15,IF(L179="M",40,0))))</x:f>
        <x:v>0</x:v>
      </x:c>
    </x:row>
    <x:row r="180">
      <x:c r="A180" t="str">
        <x:v>issabel|True/kind</x:v>
      </x:c>
      <x:c r="B180" t="str">
        <x:v>issabel</x:v>
      </x:c>
      <x:c r="C180" t="str">
        <x:v>True/kind</x:v>
      </x:c>
      <x:c r="D180" t="str">
        <x:f>INDEX(Data!$C$2:$K$22,MATCH(B180,Data!$B$2:$B$22,0),MATCH(C180,Data!$C$1:$K$1,0))</x:f>
        <x:v>T^=D</x:v>
      </x:c>
      <x:c r="E180" t="str">
        <x:f>UPPER(SUBSTITUTE(TRIM(D180),"1","I"))</x:f>
        <x:v>T^=D</x:v>
      </x:c>
      <x:c r="F180" t="n">
        <x:f>MIN(IFERROR(FIND("^",E180),999),IFERROR(FIND("-",E180),999))</x:f>
        <x:v>2</x:v>
      </x:c>
      <x:c r="G180" t="str">
        <x:f>IF(OR(E180="",F180=999,LEN(E180)&lt;=F180),"",MID(E180,F180+1,99))</x:f>
        <x:v>=D</x:v>
      </x:c>
      <x:c r="H180" t="str">
        <x:f>IF(OR(E180="",F180=999),"",LEFT(E180,F180-1))</x:f>
        <x:v>T</x:v>
      </x:c>
      <x:c r="I180" t="n">
        <x:f>IF(MID(E180,F180,1)="-",0.75,IF(MID(E180,F180,1)="^",1,0))</x:f>
        <x:v>1</x:v>
      </x:c>
      <x:c r="J180" t="str">
        <x:f>IF(G180="","",IF(LEN(G180)=1,"=",LEFT(G180,LEN(G180)-1)))</x:f>
        <x:v>=</x:v>
      </x:c>
      <x:c r="K180" t="str">
        <x:f>IF(J180="","",IF(LEFT(J180,1)="=",H180,J180))</x:f>
        <x:v>T</x:v>
      </x:c>
      <x:c r="L180" t="str">
        <x:f>IF(G180="","",RIGHT(G180,1))</x:f>
        <x:v>D</x:v>
      </x:c>
      <x:c r="M180" t="n">
        <x:f>IF(L180="D",5,IF(L180="N",10,IF(L180="I",15,IF(L180="M",40,0))))</x:f>
        <x:v>5</x:v>
      </x:c>
    </x:row>
    <x:row r="181">
      <x:c r="A181" t="str">
        <x:v>issabel|Animal</x:v>
      </x:c>
      <x:c r="B181" t="str">
        <x:v>issabel</x:v>
      </x:c>
      <x:c r="C181" t="str">
        <x:v>Animal</x:v>
      </x:c>
      <x:c r="D181" t="str">
        <x:f>INDEX(Data!$C$2:$K$22,MATCH(B181,Data!$B$2:$B$22,0),MATCH(C181,Data!$C$1:$K$1,0))</x:f>
        <x:v>A^=D</x:v>
      </x:c>
      <x:c r="E181" t="str">
        <x:f>UPPER(SUBSTITUTE(TRIM(D181),"1","I"))</x:f>
        <x:v>A^=D</x:v>
      </x:c>
      <x:c r="F181" t="n">
        <x:f>MIN(IFERROR(FIND("^",E181),999),IFERROR(FIND("-",E181),999))</x:f>
        <x:v>2</x:v>
      </x:c>
      <x:c r="G181" t="str">
        <x:f>IF(OR(E181="",F181=999,LEN(E181)&lt;=F181),"",MID(E181,F181+1,99))</x:f>
        <x:v>=D</x:v>
      </x:c>
      <x:c r="H181" t="str">
        <x:f>IF(OR(E181="",F181=999),"",LEFT(E181,F181-1))</x:f>
        <x:v>A</x:v>
      </x:c>
      <x:c r="I181" t="n">
        <x:f>IF(MID(E181,F181,1)="-",0.75,IF(MID(E181,F181,1)="^",1,0))</x:f>
        <x:v>1</x:v>
      </x:c>
      <x:c r="J181" t="str">
        <x:f>IF(G181="","",IF(LEN(G181)=1,"=",LEFT(G181,LEN(G181)-1)))</x:f>
        <x:v>=</x:v>
      </x:c>
      <x:c r="K181" t="str">
        <x:f>IF(J181="","",IF(LEFT(J181,1)="=",H181,J181))</x:f>
        <x:v>A</x:v>
      </x:c>
      <x:c r="L181" t="str">
        <x:f>IF(G181="","",RIGHT(G181,1))</x:f>
        <x:v>D</x:v>
      </x:c>
      <x:c r="M181" t="n">
        <x:f>IF(L181="D",5,IF(L181="N",10,IF(L181="I",15,IF(L181="M",40,0))))</x:f>
        <x:v>5</x:v>
      </x:c>
    </x:row>
    <x:row r="182">
      <x:c r="A182" t="str">
        <x:v>lydia|God</x:v>
      </x:c>
      <x:c r="B182" t="str">
        <x:v>lydia</x:v>
      </x:c>
      <x:c r="C182" t="str">
        <x:v>God</x:v>
      </x:c>
      <x:c r="D182" t="str">
        <x:f>INDEX(Data!$C$2:$K$22,MATCH(B182,Data!$B$2:$B$22,0),MATCH(C182,Data!$C$1:$K$1,0))</x:f>
        <x:v>N-=D</x:v>
      </x:c>
      <x:c r="E182" t="str">
        <x:f>UPPER(SUBSTITUTE(TRIM(D182),"1","I"))</x:f>
        <x:v>N-=D</x:v>
      </x:c>
      <x:c r="F182" t="n">
        <x:f>MIN(IFERROR(FIND("^",E182),999),IFERROR(FIND("-",E182),999))</x:f>
        <x:v>2</x:v>
      </x:c>
      <x:c r="G182" t="str">
        <x:f>IF(OR(E182="",F182=999,LEN(E182)&lt;=F182),"",MID(E182,F182+1,99))</x:f>
        <x:v>=D</x:v>
      </x:c>
      <x:c r="H182" t="str">
        <x:f>IF(OR(E182="",F182=999),"",LEFT(E182,F182-1))</x:f>
        <x:v>N</x:v>
      </x:c>
      <x:c r="I182" t="n">
        <x:f>IF(MID(E182,F182,1)="-",0.75,IF(MID(E182,F182,1)="^",1,0))</x:f>
        <x:v>0.75</x:v>
      </x:c>
      <x:c r="J182" t="str">
        <x:f>IF(G182="","",IF(LEN(G182)=1,"=",LEFT(G182,LEN(G182)-1)))</x:f>
        <x:v>=</x:v>
      </x:c>
      <x:c r="K182" t="str">
        <x:f>IF(J182="","",IF(LEFT(J182,1)="=",H182,J182))</x:f>
        <x:v>N</x:v>
      </x:c>
      <x:c r="L182" t="str">
        <x:f>IF(G182="","",RIGHT(G182,1))</x:f>
        <x:v>D</x:v>
      </x:c>
      <x:c r="M182" t="n">
        <x:f>IF(L182="D",5,IF(L182="N",10,IF(L182="I",15,IF(L182="M",40,0))))</x:f>
        <x:v>5</x:v>
      </x:c>
    </x:row>
    <x:row r="183">
      <x:c r="A183" t="str">
        <x:v>lydia|Politics</x:v>
      </x:c>
      <x:c r="B183" t="str">
        <x:v>lydia</x:v>
      </x:c>
      <x:c r="C183" t="str">
        <x:v>Politics</x:v>
      </x:c>
      <x:c r="D183" t="str">
        <x:f>INDEX(Data!$C$2:$K$22,MATCH(B183,Data!$B$2:$B$22,0),MATCH(C183,Data!$C$1:$K$1,0))</x:f>
        <x:v>L-=N</x:v>
      </x:c>
      <x:c r="E183" t="str">
        <x:f>UPPER(SUBSTITUTE(TRIM(D183),"1","I"))</x:f>
        <x:v>L-=N</x:v>
      </x:c>
      <x:c r="F183" t="n">
        <x:f>MIN(IFERROR(FIND("^",E183),999),IFERROR(FIND("-",E183),999))</x:f>
        <x:v>2</x:v>
      </x:c>
      <x:c r="G183" t="str">
        <x:f>IF(OR(E183="",F183=999,LEN(E183)&lt;=F183),"",MID(E183,F183+1,99))</x:f>
        <x:v>=N</x:v>
      </x:c>
      <x:c r="H183" t="str">
        <x:f>IF(OR(E183="",F183=999),"",LEFT(E183,F183-1))</x:f>
        <x:v>L</x:v>
      </x:c>
      <x:c r="I183" t="n">
        <x:f>IF(MID(E183,F183,1)="-",0.75,IF(MID(E183,F183,1)="^",1,0))</x:f>
        <x:v>0.75</x:v>
      </x:c>
      <x:c r="J183" t="str">
        <x:f>IF(G183="","",IF(LEN(G183)=1,"=",LEFT(G183,LEN(G183)-1)))</x:f>
        <x:v>=</x:v>
      </x:c>
      <x:c r="K183" t="str">
        <x:f>IF(J183="","",IF(LEFT(J183,1)="=",H183,J183))</x:f>
        <x:v>L</x:v>
      </x:c>
      <x:c r="L183" t="str">
        <x:f>IF(G183="","",RIGHT(G183,1))</x:f>
        <x:v>N</x:v>
      </x:c>
      <x:c r="M183" t="n">
        <x:f>IF(L183="D",5,IF(L183="N",10,IF(L183="I",15,IF(L183="M",40,0))))</x:f>
        <x:v>10</x:v>
      </x:c>
    </x:row>
    <x:row r="184">
      <x:c r="A184" t="str">
        <x:v>lydia|Marriage</x:v>
      </x:c>
      <x:c r="B184" t="str">
        <x:v>lydia</x:v>
      </x:c>
      <x:c r="C184" t="str">
        <x:v>Marriage</x:v>
      </x:c>
      <x:c r="D184" t="str">
        <x:f>INDEX(Data!$C$2:$K$22,MATCH(B184,Data!$B$2:$B$22,0),MATCH(C184,Data!$C$1:$K$1,0))</x:f>
        <x:v>S-=D</x:v>
      </x:c>
      <x:c r="E184" t="str">
        <x:f>UPPER(SUBSTITUTE(TRIM(D184),"1","I"))</x:f>
        <x:v>S-=D</x:v>
      </x:c>
      <x:c r="F184" t="n">
        <x:f>MIN(IFERROR(FIND("^",E184),999),IFERROR(FIND("-",E184),999))</x:f>
        <x:v>2</x:v>
      </x:c>
      <x:c r="G184" t="str">
        <x:f>IF(OR(E184="",F184=999,LEN(E184)&lt;=F184),"",MID(E184,F184+1,99))</x:f>
        <x:v>=D</x:v>
      </x:c>
      <x:c r="H184" t="str">
        <x:f>IF(OR(E184="",F184=999),"",LEFT(E184,F184-1))</x:f>
        <x:v>S</x:v>
      </x:c>
      <x:c r="I184" t="n">
        <x:f>IF(MID(E184,F184,1)="-",0.75,IF(MID(E184,F184,1)="^",1,0))</x:f>
        <x:v>0.75</x:v>
      </x:c>
      <x:c r="J184" t="str">
        <x:f>IF(G184="","",IF(LEN(G184)=1,"=",LEFT(G184,LEN(G184)-1)))</x:f>
        <x:v>=</x:v>
      </x:c>
      <x:c r="K184" t="str">
        <x:f>IF(J184="","",IF(LEFT(J184,1)="=",H184,J184))</x:f>
        <x:v>S</x:v>
      </x:c>
      <x:c r="L184" t="str">
        <x:f>IF(G184="","",RIGHT(G184,1))</x:f>
        <x:v>D</x:v>
      </x:c>
      <x:c r="M184" t="n">
        <x:f>IF(L184="D",5,IF(L184="N",10,IF(L184="I",15,IF(L184="M",40,0))))</x:f>
        <x:v>5</x:v>
      </x:c>
    </x:row>
    <x:row r="185">
      <x:c r="A185" t="str">
        <x:v>lydia|Children</x:v>
      </x:c>
      <x:c r="B185" t="str">
        <x:v>lydia</x:v>
      </x:c>
      <x:c r="C185" t="str">
        <x:v>Children</x:v>
      </x:c>
      <x:c r="D185" t="str">
        <x:f>INDEX(Data!$C$2:$K$22,MATCH(B185,Data!$B$2:$B$22,0),MATCH(C185,Data!$C$1:$K$1,0))</x:f>
        <x:v>N^=M</x:v>
      </x:c>
      <x:c r="E185" t="str">
        <x:f>UPPER(SUBSTITUTE(TRIM(D185),"1","I"))</x:f>
        <x:v>N^=M</x:v>
      </x:c>
      <x:c r="F185" t="n">
        <x:f>MIN(IFERROR(FIND("^",E185),999),IFERROR(FIND("-",E185),999))</x:f>
        <x:v>2</x:v>
      </x:c>
      <x:c r="G185" t="str">
        <x:f>IF(OR(E185="",F185=999,LEN(E185)&lt;=F185),"",MID(E185,F185+1,99))</x:f>
        <x:v>=M</x:v>
      </x:c>
      <x:c r="H185" t="str">
        <x:f>IF(OR(E185="",F185=999),"",LEFT(E185,F185-1))</x:f>
        <x:v>N</x:v>
      </x:c>
      <x:c r="I185" t="n">
        <x:f>IF(MID(E185,F185,1)="-",0.75,IF(MID(E185,F185,1)="^",1,0))</x:f>
        <x:v>1</x:v>
      </x:c>
      <x:c r="J185" t="str">
        <x:f>IF(G185="","",IF(LEN(G185)=1,"=",LEFT(G185,LEN(G185)-1)))</x:f>
        <x:v>=</x:v>
      </x:c>
      <x:c r="K185" t="str">
        <x:f>IF(J185="","",IF(LEFT(J185,1)="=",H185,J185))</x:f>
        <x:v>N</x:v>
      </x:c>
      <x:c r="L185" t="str">
        <x:f>IF(G185="","",RIGHT(G185,1))</x:f>
        <x:v>M</x:v>
      </x:c>
      <x:c r="M185" t="n">
        <x:f>IF(L185="D",5,IF(L185="N",10,IF(L185="I",15,IF(L185="M",40,0))))</x:f>
        <x:v>40</x:v>
      </x:c>
    </x:row>
    <x:row r="186">
      <x:c r="A186" t="str">
        <x:v>lydia|Ethicity</x:v>
      </x:c>
      <x:c r="B186" t="str">
        <x:v>lydia</x:v>
      </x:c>
      <x:c r="C186" t="str">
        <x:v>Ethicity</x:v>
      </x:c>
      <x:c r="D186" t="str">
        <x:f>INDEX(Data!$C$2:$K$22,MATCH(B186,Data!$B$2:$B$22,0),MATCH(C186,Data!$C$1:$K$1,0))</x:f>
        <x:v>A^=N</x:v>
      </x:c>
      <x:c r="E186" t="str">
        <x:f>UPPER(SUBSTITUTE(TRIM(D186),"1","I"))</x:f>
        <x:v>A^=N</x:v>
      </x:c>
      <x:c r="F186" t="n">
        <x:f>MIN(IFERROR(FIND("^",E186),999),IFERROR(FIND("-",E186),999))</x:f>
        <x:v>2</x:v>
      </x:c>
      <x:c r="G186" t="str">
        <x:f>IF(OR(E186="",F186=999,LEN(E186)&lt;=F186),"",MID(E186,F186+1,99))</x:f>
        <x:v>=N</x:v>
      </x:c>
      <x:c r="H186" t="str">
        <x:f>IF(OR(E186="",F186=999),"",LEFT(E186,F186-1))</x:f>
        <x:v>A</x:v>
      </x:c>
      <x:c r="I186" t="n">
        <x:f>IF(MID(E186,F186,1)="-",0.75,IF(MID(E186,F186,1)="^",1,0))</x:f>
        <x:v>1</x:v>
      </x:c>
      <x:c r="J186" t="str">
        <x:f>IF(G186="","",IF(LEN(G186)=1,"=",LEFT(G186,LEN(G186)-1)))</x:f>
        <x:v>=</x:v>
      </x:c>
      <x:c r="K186" t="str">
        <x:f>IF(J186="","",IF(LEFT(J186,1)="=",H186,J186))</x:f>
        <x:v>A</x:v>
      </x:c>
      <x:c r="L186" t="str">
        <x:f>IF(G186="","",RIGHT(G186,1))</x:f>
        <x:v>N</x:v>
      </x:c>
      <x:c r="M186" t="n">
        <x:f>IF(L186="D",5,IF(L186="N",10,IF(L186="I",15,IF(L186="M",40,0))))</x:f>
        <x:v>10</x:v>
      </x:c>
    </x:row>
    <x:row r="187">
      <x:c r="A187" t="str">
        <x:v>lydia|Past</x:v>
      </x:c>
      <x:c r="B187" t="str">
        <x:v>lydia</x:v>
      </x:c>
      <x:c r="C187" t="str">
        <x:v>Past</x:v>
      </x:c>
      <x:c r="D187" t="str">
        <x:f>INDEX(Data!$C$2:$K$22,MATCH(B187,Data!$B$2:$B$22,0),MATCH(C187,Data!$C$1:$K$1,0))</x:f>
        <x:v>N-=I</x:v>
      </x:c>
      <x:c r="E187" t="str">
        <x:f>UPPER(SUBSTITUTE(TRIM(D187),"1","I"))</x:f>
        <x:v>N-=I</x:v>
      </x:c>
      <x:c r="F187" t="n">
        <x:f>MIN(IFERROR(FIND("^",E187),999),IFERROR(FIND("-",E187),999))</x:f>
        <x:v>2</x:v>
      </x:c>
      <x:c r="G187" t="str">
        <x:f>IF(OR(E187="",F187=999,LEN(E187)&lt;=F187),"",MID(E187,F187+1,99))</x:f>
        <x:v>=I</x:v>
      </x:c>
      <x:c r="H187" t="str">
        <x:f>IF(OR(E187="",F187=999),"",LEFT(E187,F187-1))</x:f>
        <x:v>N</x:v>
      </x:c>
      <x:c r="I187" t="n">
        <x:f>IF(MID(E187,F187,1)="-",0.75,IF(MID(E187,F187,1)="^",1,0))</x:f>
        <x:v>0.75</x:v>
      </x:c>
      <x:c r="J187" t="str">
        <x:f>IF(G187="","",IF(LEN(G187)=1,"=",LEFT(G187,LEN(G187)-1)))</x:f>
        <x:v>=</x:v>
      </x:c>
      <x:c r="K187" t="str">
        <x:f>IF(J187="","",IF(LEFT(J187,1)="=",H187,J187))</x:f>
        <x:v>N</x:v>
      </x:c>
      <x:c r="L187" t="str">
        <x:f>IF(G187="","",RIGHT(G187,1))</x:f>
        <x:v>I</x:v>
      </x:c>
      <x:c r="M187" t="n">
        <x:f>IF(L187="D",5,IF(L187="N",10,IF(L187="I",15,IF(L187="M",40,0))))</x:f>
        <x:v>15</x:v>
      </x:c>
    </x:row>
    <x:row r="188">
      <x:c r="A188" t="str">
        <x:v>lydia|D/S</x:v>
      </x:c>
      <x:c r="B188" t="str">
        <x:v>lydia</x:v>
      </x:c>
      <x:c r="C188" t="str">
        <x:v>D/S</x:v>
      </x:c>
      <x:c r="D188" t="str">
        <x:f>INDEX(Data!$C$2:$K$22,MATCH(B188,Data!$B$2:$B$22,0),MATCH(C188,Data!$C$1:$K$1,0))</x:f>
        <x:v>D-SN</x:v>
      </x:c>
      <x:c r="E188" t="str">
        <x:f>UPPER(SUBSTITUTE(TRIM(D188),"1","I"))</x:f>
        <x:v>D-SN</x:v>
      </x:c>
      <x:c r="F188" t="n">
        <x:f>MIN(IFERROR(FIND("^",E188),999),IFERROR(FIND("-",E188),999))</x:f>
        <x:v>2</x:v>
      </x:c>
      <x:c r="G188" t="str">
        <x:f>IF(OR(E188="",F188=999,LEN(E188)&lt;=F188),"",MID(E188,F188+1,99))</x:f>
        <x:v>SN</x:v>
      </x:c>
      <x:c r="H188" t="str">
        <x:f>IF(OR(E188="",F188=999),"",LEFT(E188,F188-1))</x:f>
        <x:v>D</x:v>
      </x:c>
      <x:c r="I188" t="n">
        <x:f>IF(MID(E188,F188,1)="-",0.75,IF(MID(E188,F188,1)="^",1,0))</x:f>
        <x:v>0.75</x:v>
      </x:c>
      <x:c r="J188" t="str">
        <x:f>IF(G188="","",IF(LEN(G188)=1,"=",LEFT(G188,LEN(G188)-1)))</x:f>
        <x:v>S</x:v>
      </x:c>
      <x:c r="K188" t="str">
        <x:f>IF(J188="","",IF(LEFT(J188,1)="=",H188,J188))</x:f>
        <x:v>S</x:v>
      </x:c>
      <x:c r="L188" t="str">
        <x:f>IF(G188="","",RIGHT(G188,1))</x:f>
        <x:v>N</x:v>
      </x:c>
      <x:c r="M188" t="n">
        <x:f>IF(L188="D",5,IF(L188="N",10,IF(L188="I",15,IF(L188="M",40,0))))</x:f>
        <x:v>10</x:v>
      </x:c>
    </x:row>
    <x:row r="189">
      <x:c r="A189" t="str">
        <x:v>lydia|True/kind</x:v>
      </x:c>
      <x:c r="B189" t="str">
        <x:v>lydia</x:v>
      </x:c>
      <x:c r="C189" t="str">
        <x:v>True/kind</x:v>
      </x:c>
      <x:c r="D189" t="str">
        <x:f>INDEX(Data!$C$2:$K$22,MATCH(B189,Data!$B$2:$B$22,0),MATCH(C189,Data!$C$1:$K$1,0))</x:f>
        <x:v>K-</x:v>
      </x:c>
      <x:c r="E189" t="str">
        <x:f>UPPER(SUBSTITUTE(TRIM(D189),"1","I"))</x:f>
        <x:v>K-</x:v>
      </x:c>
      <x:c r="F189" t="n">
        <x:f>MIN(IFERROR(FIND("^",E189),999),IFERROR(FIND("-",E189),999))</x:f>
        <x:v>2</x:v>
      </x:c>
      <x:c r="G189" t="str">
        <x:f>IF(OR(E189="",F189=999,LEN(E189)&lt;=F189),"",MID(E189,F189+1,99))</x:f>
      </x:c>
      <x:c r="H189" t="str">
        <x:f>IF(OR(E189="",F189=999),"",LEFT(E189,F189-1))</x:f>
        <x:v>K</x:v>
      </x:c>
      <x:c r="I189" t="n">
        <x:f>IF(MID(E189,F189,1)="-",0.75,IF(MID(E189,F189,1)="^",1,0))</x:f>
        <x:v>0.75</x:v>
      </x:c>
      <x:c r="J189" t="str">
        <x:f>IF(G189="","",IF(LEN(G189)=1,"=",LEFT(G189,LEN(G189)-1)))</x:f>
      </x:c>
      <x:c r="K189" t="str">
        <x:f>IF(J189="","",IF(LEFT(J189,1)="=",H189,J189))</x:f>
      </x:c>
      <x:c r="L189" t="str">
        <x:f>IF(G189="","",RIGHT(G189,1))</x:f>
      </x:c>
      <x:c r="M189" t="n">
        <x:f>IF(L189="D",5,IF(L189="N",10,IF(L189="I",15,IF(L189="M",40,0))))</x:f>
        <x:v>0</x:v>
      </x:c>
    </x:row>
    <x:row r="190">
      <x:c r="A190" t="str">
        <x:v>lydia|Animal</x:v>
      </x:c>
      <x:c r="B190" t="str">
        <x:v>lydia</x:v>
      </x:c>
      <x:c r="C190" t="str">
        <x:v>Animal</x:v>
      </x:c>
      <x:c r="D190" t="str">
        <x:f>INDEX(Data!$C$2:$K$22,MATCH(B190,Data!$B$2:$B$22,0),MATCH(C190,Data!$C$1:$K$1,0))</x:f>
        <x:v>A-=I</x:v>
      </x:c>
      <x:c r="E190" t="str">
        <x:f>UPPER(SUBSTITUTE(TRIM(D190),"1","I"))</x:f>
        <x:v>A-=I</x:v>
      </x:c>
      <x:c r="F190" t="n">
        <x:f>MIN(IFERROR(FIND("^",E190),999),IFERROR(FIND("-",E190),999))</x:f>
        <x:v>2</x:v>
      </x:c>
      <x:c r="G190" t="str">
        <x:f>IF(OR(E190="",F190=999,LEN(E190)&lt;=F190),"",MID(E190,F190+1,99))</x:f>
        <x:v>=I</x:v>
      </x:c>
      <x:c r="H190" t="str">
        <x:f>IF(OR(E190="",F190=999),"",LEFT(E190,F190-1))</x:f>
        <x:v>A</x:v>
      </x:c>
      <x:c r="I190" t="n">
        <x:f>IF(MID(E190,F190,1)="-",0.75,IF(MID(E190,F190,1)="^",1,0))</x:f>
        <x:v>0.75</x:v>
      </x:c>
      <x:c r="J190" t="str">
        <x:f>IF(G190="","",IF(LEN(G190)=1,"=",LEFT(G190,LEN(G190)-1)))</x:f>
        <x:v>=</x:v>
      </x:c>
      <x:c r="K190" t="str">
        <x:f>IF(J190="","",IF(LEFT(J190,1)="=",H190,J190))</x:f>
        <x:v>A</x:v>
      </x:c>
      <x:c r="L190" t="str">
        <x:f>IF(G190="","",RIGHT(G190,1))</x:f>
        <x:v>I</x:v>
      </x:c>
      <x:c r="M190" t="n">
        <x:f>IF(L190="D",5,IF(L190="N",10,IF(L190="I",15,IF(L190="M",40,0))))</x:f>
        <x:v>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" hidden="0" customWidth="1"/>
    <x:col min="2" max="2" width="13.5" hidden="0" customWidth="1"/>
    <x:col min="3" max="3" width="13.5" hidden="0" customWidth="1"/>
    <x:col min="4" max="4" width="13.5" hidden="0" customWidth="1"/>
    <x:col min="5" max="5" width="13.5" hidden="0" customWidth="1"/>
  </x:cols>
  <x:sheetData>
    <x:row r="1">
      <x:c r="A1" s="2" t="str">
        <x:v>Boy</x:v>
      </x:c>
      <x:c r="B1" s="2" t="str">
        <x:v>Girl</x:v>
      </x:c>
      <x:c r="C1" s="2" t="str">
        <x:v>Girl-to-boy</x:v>
      </x:c>
      <x:c r="D1" s="2" t="str">
        <x:v>Boy-to-girl</x:v>
      </x:c>
      <x:c r="E1" s="2" t="str">
        <x:v>Final</x:v>
      </x:c>
    </x:row>
    <x:row r="2">
      <x:c r="A2" t="str">
        <x:v>joshuah</x:v>
      </x:c>
      <x:c r="B2" t="str">
        <x:v>jasmine</x:v>
      </x:c>
      <x:c r="C2" s="11" t="n">
        <x:f>IFERROR(IF(INDEX(Parsed!$K$2:$K$190,(MATCH(B2,Data!$B$2:$B$22,0)-1)*9+MATCH("God",Parsed!$C$2:$C$10,0))=INDEX(Parsed!$H$2:$H$190,(MATCH(A2,Data!$B$2:$B$22,0)-1)*9+MATCH("God",Parsed!$C$2:$C$10,0)),INDEX(Parsed!$M$2:$M$190,(MATCH(B2,Data!$B$2:$B$22,0)-1)*9+MATCH("God",Parsed!$C$2:$C$10,0))*INDEX(Parsed!$I$2:$I$190,(MATCH(A2,Data!$B$2:$B$22,0)-1)*9+MATCH("God",Parsed!$C$2:$C$10,0)),0)+IF(INDEX(Parsed!$K$2:$K$190,(MATCH(B2,Data!$B$2:$B$22,0)-1)*9+MATCH("Politics",Parsed!$C$2:$C$10,0))=INDEX(Parsed!$H$2:$H$190,(MATCH(A2,Data!$B$2:$B$22,0)-1)*9+MATCH("Politics",Parsed!$C$2:$C$10,0)),INDEX(Parsed!$M$2:$M$190,(MATCH(B2,Data!$B$2:$B$22,0)-1)*9+MATCH("Politics",Parsed!$C$2:$C$10,0))*INDEX(Parsed!$I$2:$I$190,(MATCH(A2,Data!$B$2:$B$22,0)-1)*9+MATCH("Politics",Parsed!$C$2:$C$10,0)),0)+IF(INDEX(Parsed!$K$2:$K$190,(MATCH(B2,Data!$B$2:$B$22,0)-1)*9+MATCH("Marriage",Parsed!$C$2:$C$10,0))=INDEX(Parsed!$H$2:$H$190,(MATCH(A2,Data!$B$2:$B$22,0)-1)*9+MATCH("Marriage",Parsed!$C$2:$C$10,0)),INDEX(Parsed!$M$2:$M$190,(MATCH(B2,Data!$B$2:$B$22,0)-1)*9+MATCH("Marriage",Parsed!$C$2:$C$10,0))*INDEX(Parsed!$I$2:$I$190,(MATCH(A2,Data!$B$2:$B$22,0)-1)*9+MATCH("Marriage",Parsed!$C$2:$C$10,0)),0)+IF(INDEX(Parsed!$K$2:$K$190,(MATCH(B2,Data!$B$2:$B$22,0)-1)*9+MATCH("Children",Parsed!$C$2:$C$10,0))=INDEX(Parsed!$H$2:$H$190,(MATCH(A2,Data!$B$2:$B$22,0)-1)*9+MATCH("Children",Parsed!$C$2:$C$10,0)),INDEX(Parsed!$M$2:$M$190,(MATCH(B2,Data!$B$2:$B$22,0)-1)*9+MATCH("Children",Parsed!$C$2:$C$10,0))*INDEX(Parsed!$I$2:$I$190,(MATCH(A2,Data!$B$2:$B$22,0)-1)*9+MATCH("Children",Parsed!$C$2:$C$10,0)),0)+IF(INDEX(Parsed!$K$2:$K$190,(MATCH(B2,Data!$B$2:$B$22,0)-1)*9+MATCH("Ethicity",Parsed!$C$2:$C$10,0))=INDEX(Parsed!$H$2:$H$190,(MATCH(A2,Data!$B$2:$B$22,0)-1)*9+MATCH("Ethicity",Parsed!$C$2:$C$10,0)),INDEX(Parsed!$M$2:$M$190,(MATCH(B2,Data!$B$2:$B$22,0)-1)*9+MATCH("Ethicity",Parsed!$C$2:$C$10,0))*INDEX(Parsed!$I$2:$I$190,(MATCH(A2,Data!$B$2:$B$22,0)-1)*9+MATCH("Ethicity",Parsed!$C$2:$C$10,0)),0)+IF(INDEX(Parsed!$K$2:$K$190,(MATCH(B2,Data!$B$2:$B$22,0)-1)*9+MATCH("Past",Parsed!$C$2:$C$10,0))=INDEX(Parsed!$H$2:$H$190,(MATCH(A2,Data!$B$2:$B$22,0)-1)*9+MATCH("Past",Parsed!$C$2:$C$10,0)),INDEX(Parsed!$M$2:$M$190,(MATCH(B2,Data!$B$2:$B$22,0)-1)*9+MATCH("Past",Parsed!$C$2:$C$10,0))*INDEX(Parsed!$I$2:$I$190,(MATCH(A2,Data!$B$2:$B$22,0)-1)*9+MATCH("Past",Parsed!$C$2:$C$10,0)),0)+IF(INDEX(Parsed!$K$2:$K$190,(MATCH(B2,Data!$B$2:$B$22,0)-1)*9+MATCH("D/S",Parsed!$C$2:$C$10,0))=INDEX(Parsed!$H$2:$H$190,(MATCH(A2,Data!$B$2:$B$22,0)-1)*9+MATCH("D/S",Parsed!$C$2:$C$10,0)),INDEX(Parsed!$M$2:$M$190,(MATCH(B2,Data!$B$2:$B$22,0)-1)*9+MATCH("D/S",Parsed!$C$2:$C$10,0))*INDEX(Parsed!$I$2:$I$190,(MATCH(A2,Data!$B$2:$B$22,0)-1)*9+MATCH("D/S",Parsed!$C$2:$C$10,0)),0)+IF(INDEX(Parsed!$K$2:$K$190,(MATCH(B2,Data!$B$2:$B$22,0)-1)*9+MATCH("True/kind",Parsed!$C$2:$C$10,0))=INDEX(Parsed!$H$2:$H$190,(MATCH(A2,Data!$B$2:$B$22,0)-1)*9+MATCH("True/kind",Parsed!$C$2:$C$10,0)),INDEX(Parsed!$M$2:$M$190,(MATCH(B2,Data!$B$2:$B$22,0)-1)*9+MATCH("True/kind",Parsed!$C$2:$C$10,0))*INDEX(Parsed!$I$2:$I$190,(MATCH(A2,Data!$B$2:$B$22,0)-1)*9+MATCH("True/kind",Parsed!$C$2:$C$10,0)),0)+IF(INDEX(Parsed!$K$2:$K$190,(MATCH(B2,Data!$B$2:$B$22,0)-1)*9+MATCH("Animal",Parsed!$C$2:$C$10,0))=INDEX(Parsed!$H$2:$H$190,(MATCH(A2,Data!$B$2:$B$22,0)-1)*9+MATCH("Animal",Parsed!$C$2:$C$10,0)),INDEX(Parsed!$M$2:$M$190,(MATCH(B2,Data!$B$2:$B$22,0)-1)*9+MATCH("Animal",Parsed!$C$2:$C$10,0))*INDEX(Parsed!$I$2:$I$190,(MATCH(A2,Data!$B$2:$B$22,0)-1)*9+MATCH("Animal",Parsed!$C$2:$C$10,0)),0),0)</x:f>
        <x:v>30</x:v>
      </x:c>
      <x:c r="D2" s="11" t="n">
        <x:f>IFERROR(IF(INDEX(Parsed!$K$2:$K$190,(MATCH(A2,Data!$B$2:$B$22,0)-1)*9+MATCH("God",Parsed!$C$2:$C$10,0))=INDEX(Parsed!$H$2:$H$190,(MATCH(B2,Data!$B$2:$B$22,0)-1)*9+MATCH("God",Parsed!$C$2:$C$10,0)),INDEX(Parsed!$M$2:$M$190,(MATCH(A2,Data!$B$2:$B$22,0)-1)*9+MATCH("God",Parsed!$C$2:$C$10,0))*INDEX(Parsed!$I$2:$I$190,(MATCH(B2,Data!$B$2:$B$22,0)-1)*9+MATCH("God",Parsed!$C$2:$C$10,0)),0)+IF(INDEX(Parsed!$K$2:$K$190,(MATCH(A2,Data!$B$2:$B$22,0)-1)*9+MATCH("Politics",Parsed!$C$2:$C$10,0))=INDEX(Parsed!$H$2:$H$190,(MATCH(B2,Data!$B$2:$B$22,0)-1)*9+MATCH("Politics",Parsed!$C$2:$C$10,0)),INDEX(Parsed!$M$2:$M$190,(MATCH(A2,Data!$B$2:$B$22,0)-1)*9+MATCH("Politics",Parsed!$C$2:$C$10,0))*INDEX(Parsed!$I$2:$I$190,(MATCH(B2,Data!$B$2:$B$22,0)-1)*9+MATCH("Politics",Parsed!$C$2:$C$10,0)),0)+IF(INDEX(Parsed!$K$2:$K$190,(MATCH(A2,Data!$B$2:$B$22,0)-1)*9+MATCH("Marriage",Parsed!$C$2:$C$10,0))=INDEX(Parsed!$H$2:$H$190,(MATCH(B2,Data!$B$2:$B$22,0)-1)*9+MATCH("Marriage",Parsed!$C$2:$C$10,0)),INDEX(Parsed!$M$2:$M$190,(MATCH(A2,Data!$B$2:$B$22,0)-1)*9+MATCH("Marriage",Parsed!$C$2:$C$10,0))*INDEX(Parsed!$I$2:$I$190,(MATCH(B2,Data!$B$2:$B$22,0)-1)*9+MATCH("Marriage",Parsed!$C$2:$C$10,0)),0)+IF(INDEX(Parsed!$K$2:$K$190,(MATCH(A2,Data!$B$2:$B$22,0)-1)*9+MATCH("Children",Parsed!$C$2:$C$10,0))=INDEX(Parsed!$H$2:$H$190,(MATCH(B2,Data!$B$2:$B$22,0)-1)*9+MATCH("Children",Parsed!$C$2:$C$10,0)),INDEX(Parsed!$M$2:$M$190,(MATCH(A2,Data!$B$2:$B$22,0)-1)*9+MATCH("Children",Parsed!$C$2:$C$10,0))*INDEX(Parsed!$I$2:$I$190,(MATCH(B2,Data!$B$2:$B$22,0)-1)*9+MATCH("Children",Parsed!$C$2:$C$10,0)),0)+IF(INDEX(Parsed!$K$2:$K$190,(MATCH(A2,Data!$B$2:$B$22,0)-1)*9+MATCH("Ethicity",Parsed!$C$2:$C$10,0))=INDEX(Parsed!$H$2:$H$190,(MATCH(B2,Data!$B$2:$B$22,0)-1)*9+MATCH("Ethicity",Parsed!$C$2:$C$10,0)),INDEX(Parsed!$M$2:$M$190,(MATCH(A2,Data!$B$2:$B$22,0)-1)*9+MATCH("Ethicity",Parsed!$C$2:$C$10,0))*INDEX(Parsed!$I$2:$I$190,(MATCH(B2,Data!$B$2:$B$22,0)-1)*9+MATCH("Ethicity",Parsed!$C$2:$C$10,0)),0)+IF(INDEX(Parsed!$K$2:$K$190,(MATCH(A2,Data!$B$2:$B$22,0)-1)*9+MATCH("Past",Parsed!$C$2:$C$10,0))=INDEX(Parsed!$H$2:$H$190,(MATCH(B2,Data!$B$2:$B$22,0)-1)*9+MATCH("Past",Parsed!$C$2:$C$10,0)),INDEX(Parsed!$M$2:$M$190,(MATCH(A2,Data!$B$2:$B$22,0)-1)*9+MATCH("Past",Parsed!$C$2:$C$10,0))*INDEX(Parsed!$I$2:$I$190,(MATCH(B2,Data!$B$2:$B$22,0)-1)*9+MATCH("Past",Parsed!$C$2:$C$10,0)),0)+IF(INDEX(Parsed!$K$2:$K$190,(MATCH(A2,Data!$B$2:$B$22,0)-1)*9+MATCH("D/S",Parsed!$C$2:$C$10,0))=INDEX(Parsed!$H$2:$H$190,(MATCH(B2,Data!$B$2:$B$22,0)-1)*9+MATCH("D/S",Parsed!$C$2:$C$10,0)),INDEX(Parsed!$M$2:$M$190,(MATCH(A2,Data!$B$2:$B$22,0)-1)*9+MATCH("D/S",Parsed!$C$2:$C$10,0))*INDEX(Parsed!$I$2:$I$190,(MATCH(B2,Data!$B$2:$B$22,0)-1)*9+MATCH("D/S",Parsed!$C$2:$C$10,0)),0)+IF(INDEX(Parsed!$K$2:$K$190,(MATCH(A2,Data!$B$2:$B$22,0)-1)*9+MATCH("True/kind",Parsed!$C$2:$C$10,0))=INDEX(Parsed!$H$2:$H$190,(MATCH(B2,Data!$B$2:$B$22,0)-1)*9+MATCH("True/kind",Parsed!$C$2:$C$10,0)),INDEX(Parsed!$M$2:$M$190,(MATCH(A2,Data!$B$2:$B$22,0)-1)*9+MATCH("True/kind",Parsed!$C$2:$C$10,0))*INDEX(Parsed!$I$2:$I$190,(MATCH(B2,Data!$B$2:$B$22,0)-1)*9+MATCH("True/kind",Parsed!$C$2:$C$10,0)),0)+IF(INDEX(Parsed!$K$2:$K$190,(MATCH(A2,Data!$B$2:$B$22,0)-1)*9+MATCH("Animal",Parsed!$C$2:$C$10,0))=INDEX(Parsed!$H$2:$H$190,(MATCH(B2,Data!$B$2:$B$22,0)-1)*9+MATCH("Animal",Parsed!$C$2:$C$10,0)),INDEX(Parsed!$M$2:$M$190,(MATCH(A2,Data!$B$2:$B$22,0)-1)*9+MATCH("Animal",Parsed!$C$2:$C$10,0))*INDEX(Parsed!$I$2:$I$190,(MATCH(B2,Data!$B$2:$B$22,0)-1)*9+MATCH("Animal",Parsed!$C$2:$C$10,0)),0),0)</x:f>
        <x:v>63.75</x:v>
      </x:c>
      <x:c r="E2" s="11" t="n">
        <x:f>SQRT(C2*D2)</x:f>
        <x:v>43.73213921133976</x:v>
      </x:c>
    </x:row>
    <x:row r="3">
      <x:c r="A3" t="str">
        <x:v>joshuah</x:v>
      </x:c>
      <x:c r="B3" t="str">
        <x:v>cathleen</x:v>
      </x:c>
      <x:c r="C3" s="11" t="n">
        <x:f>IFERROR(IF(INDEX(Parsed!$K$2:$K$190,(MATCH(B3,Data!$B$2:$B$22,0)-1)*9+MATCH("God",Parsed!$C$2:$C$10,0))=INDEX(Parsed!$H$2:$H$190,(MATCH(A3,Data!$B$2:$B$22,0)-1)*9+MATCH("God",Parsed!$C$2:$C$10,0)),INDEX(Parsed!$M$2:$M$190,(MATCH(B3,Data!$B$2:$B$22,0)-1)*9+MATCH("God",Parsed!$C$2:$C$10,0))*INDEX(Parsed!$I$2:$I$190,(MATCH(A3,Data!$B$2:$B$22,0)-1)*9+MATCH("God",Parsed!$C$2:$C$10,0)),0)+IF(INDEX(Parsed!$K$2:$K$190,(MATCH(B3,Data!$B$2:$B$22,0)-1)*9+MATCH("Politics",Parsed!$C$2:$C$10,0))=INDEX(Parsed!$H$2:$H$190,(MATCH(A3,Data!$B$2:$B$22,0)-1)*9+MATCH("Politics",Parsed!$C$2:$C$10,0)),INDEX(Parsed!$M$2:$M$190,(MATCH(B3,Data!$B$2:$B$22,0)-1)*9+MATCH("Politics",Parsed!$C$2:$C$10,0))*INDEX(Parsed!$I$2:$I$190,(MATCH(A3,Data!$B$2:$B$22,0)-1)*9+MATCH("Politics",Parsed!$C$2:$C$10,0)),0)+IF(INDEX(Parsed!$K$2:$K$190,(MATCH(B3,Data!$B$2:$B$22,0)-1)*9+MATCH("Marriage",Parsed!$C$2:$C$10,0))=INDEX(Parsed!$H$2:$H$190,(MATCH(A3,Data!$B$2:$B$22,0)-1)*9+MATCH("Marriage",Parsed!$C$2:$C$10,0)),INDEX(Parsed!$M$2:$M$190,(MATCH(B3,Data!$B$2:$B$22,0)-1)*9+MATCH("Marriage",Parsed!$C$2:$C$10,0))*INDEX(Parsed!$I$2:$I$190,(MATCH(A3,Data!$B$2:$B$22,0)-1)*9+MATCH("Marriage",Parsed!$C$2:$C$10,0)),0)+IF(INDEX(Parsed!$K$2:$K$190,(MATCH(B3,Data!$B$2:$B$22,0)-1)*9+MATCH("Children",Parsed!$C$2:$C$10,0))=INDEX(Parsed!$H$2:$H$190,(MATCH(A3,Data!$B$2:$B$22,0)-1)*9+MATCH("Children",Parsed!$C$2:$C$10,0)),INDEX(Parsed!$M$2:$M$190,(MATCH(B3,Data!$B$2:$B$22,0)-1)*9+MATCH("Children",Parsed!$C$2:$C$10,0))*INDEX(Parsed!$I$2:$I$190,(MATCH(A3,Data!$B$2:$B$22,0)-1)*9+MATCH("Children",Parsed!$C$2:$C$10,0)),0)+IF(INDEX(Parsed!$K$2:$K$190,(MATCH(B3,Data!$B$2:$B$22,0)-1)*9+MATCH("Ethicity",Parsed!$C$2:$C$10,0))=INDEX(Parsed!$H$2:$H$190,(MATCH(A3,Data!$B$2:$B$22,0)-1)*9+MATCH("Ethicity",Parsed!$C$2:$C$10,0)),INDEX(Parsed!$M$2:$M$190,(MATCH(B3,Data!$B$2:$B$22,0)-1)*9+MATCH("Ethicity",Parsed!$C$2:$C$10,0))*INDEX(Parsed!$I$2:$I$190,(MATCH(A3,Data!$B$2:$B$22,0)-1)*9+MATCH("Ethicity",Parsed!$C$2:$C$10,0)),0)+IF(INDEX(Parsed!$K$2:$K$190,(MATCH(B3,Data!$B$2:$B$22,0)-1)*9+MATCH("Past",Parsed!$C$2:$C$10,0))=INDEX(Parsed!$H$2:$H$190,(MATCH(A3,Data!$B$2:$B$22,0)-1)*9+MATCH("Past",Parsed!$C$2:$C$10,0)),INDEX(Parsed!$M$2:$M$190,(MATCH(B3,Data!$B$2:$B$22,0)-1)*9+MATCH("Past",Parsed!$C$2:$C$10,0))*INDEX(Parsed!$I$2:$I$190,(MATCH(A3,Data!$B$2:$B$22,0)-1)*9+MATCH("Past",Parsed!$C$2:$C$10,0)),0)+IF(INDEX(Parsed!$K$2:$K$190,(MATCH(B3,Data!$B$2:$B$22,0)-1)*9+MATCH("D/S",Parsed!$C$2:$C$10,0))=INDEX(Parsed!$H$2:$H$190,(MATCH(A3,Data!$B$2:$B$22,0)-1)*9+MATCH("D/S",Parsed!$C$2:$C$10,0)),INDEX(Parsed!$M$2:$M$190,(MATCH(B3,Data!$B$2:$B$22,0)-1)*9+MATCH("D/S",Parsed!$C$2:$C$10,0))*INDEX(Parsed!$I$2:$I$190,(MATCH(A3,Data!$B$2:$B$22,0)-1)*9+MATCH("D/S",Parsed!$C$2:$C$10,0)),0)+IF(INDEX(Parsed!$K$2:$K$190,(MATCH(B3,Data!$B$2:$B$22,0)-1)*9+MATCH("True/kind",Parsed!$C$2:$C$10,0))=INDEX(Parsed!$H$2:$H$190,(MATCH(A3,Data!$B$2:$B$22,0)-1)*9+MATCH("True/kind",Parsed!$C$2:$C$10,0)),INDEX(Parsed!$M$2:$M$190,(MATCH(B3,Data!$B$2:$B$22,0)-1)*9+MATCH("True/kind",Parsed!$C$2:$C$10,0))*INDEX(Parsed!$I$2:$I$190,(MATCH(A3,Data!$B$2:$B$22,0)-1)*9+MATCH("True/kind",Parsed!$C$2:$C$10,0)),0)+IF(INDEX(Parsed!$K$2:$K$190,(MATCH(B3,Data!$B$2:$B$22,0)-1)*9+MATCH("Animal",Parsed!$C$2:$C$10,0))=INDEX(Parsed!$H$2:$H$190,(MATCH(A3,Data!$B$2:$B$22,0)-1)*9+MATCH("Animal",Parsed!$C$2:$C$10,0)),INDEX(Parsed!$M$2:$M$190,(MATCH(B3,Data!$B$2:$B$22,0)-1)*9+MATCH("Animal",Parsed!$C$2:$C$10,0))*INDEX(Parsed!$I$2:$I$190,(MATCH(A3,Data!$B$2:$B$22,0)-1)*9+MATCH("Animal",Parsed!$C$2:$C$10,0)),0),0)</x:f>
        <x:v>43.75</x:v>
      </x:c>
      <x:c r="D3" s="11" t="n">
        <x:f>IFERROR(IF(INDEX(Parsed!$K$2:$K$190,(MATCH(A3,Data!$B$2:$B$22,0)-1)*9+MATCH("God",Parsed!$C$2:$C$10,0))=INDEX(Parsed!$H$2:$H$190,(MATCH(B3,Data!$B$2:$B$22,0)-1)*9+MATCH("God",Parsed!$C$2:$C$10,0)),INDEX(Parsed!$M$2:$M$190,(MATCH(A3,Data!$B$2:$B$22,0)-1)*9+MATCH("God",Parsed!$C$2:$C$10,0))*INDEX(Parsed!$I$2:$I$190,(MATCH(B3,Data!$B$2:$B$22,0)-1)*9+MATCH("God",Parsed!$C$2:$C$10,0)),0)+IF(INDEX(Parsed!$K$2:$K$190,(MATCH(A3,Data!$B$2:$B$22,0)-1)*9+MATCH("Politics",Parsed!$C$2:$C$10,0))=INDEX(Parsed!$H$2:$H$190,(MATCH(B3,Data!$B$2:$B$22,0)-1)*9+MATCH("Politics",Parsed!$C$2:$C$10,0)),INDEX(Parsed!$M$2:$M$190,(MATCH(A3,Data!$B$2:$B$22,0)-1)*9+MATCH("Politics",Parsed!$C$2:$C$10,0))*INDEX(Parsed!$I$2:$I$190,(MATCH(B3,Data!$B$2:$B$22,0)-1)*9+MATCH("Politics",Parsed!$C$2:$C$10,0)),0)+IF(INDEX(Parsed!$K$2:$K$190,(MATCH(A3,Data!$B$2:$B$22,0)-1)*9+MATCH("Marriage",Parsed!$C$2:$C$10,0))=INDEX(Parsed!$H$2:$H$190,(MATCH(B3,Data!$B$2:$B$22,0)-1)*9+MATCH("Marriage",Parsed!$C$2:$C$10,0)),INDEX(Parsed!$M$2:$M$190,(MATCH(A3,Data!$B$2:$B$22,0)-1)*9+MATCH("Marriage",Parsed!$C$2:$C$10,0))*INDEX(Parsed!$I$2:$I$190,(MATCH(B3,Data!$B$2:$B$22,0)-1)*9+MATCH("Marriage",Parsed!$C$2:$C$10,0)),0)+IF(INDEX(Parsed!$K$2:$K$190,(MATCH(A3,Data!$B$2:$B$22,0)-1)*9+MATCH("Children",Parsed!$C$2:$C$10,0))=INDEX(Parsed!$H$2:$H$190,(MATCH(B3,Data!$B$2:$B$22,0)-1)*9+MATCH("Children",Parsed!$C$2:$C$10,0)),INDEX(Parsed!$M$2:$M$190,(MATCH(A3,Data!$B$2:$B$22,0)-1)*9+MATCH("Children",Parsed!$C$2:$C$10,0))*INDEX(Parsed!$I$2:$I$190,(MATCH(B3,Data!$B$2:$B$22,0)-1)*9+MATCH("Children",Parsed!$C$2:$C$10,0)),0)+IF(INDEX(Parsed!$K$2:$K$190,(MATCH(A3,Data!$B$2:$B$22,0)-1)*9+MATCH("Ethicity",Parsed!$C$2:$C$10,0))=INDEX(Parsed!$H$2:$H$190,(MATCH(B3,Data!$B$2:$B$22,0)-1)*9+MATCH("Ethicity",Parsed!$C$2:$C$10,0)),INDEX(Parsed!$M$2:$M$190,(MATCH(A3,Data!$B$2:$B$22,0)-1)*9+MATCH("Ethicity",Parsed!$C$2:$C$10,0))*INDEX(Parsed!$I$2:$I$190,(MATCH(B3,Data!$B$2:$B$22,0)-1)*9+MATCH("Ethicity",Parsed!$C$2:$C$10,0)),0)+IF(INDEX(Parsed!$K$2:$K$190,(MATCH(A3,Data!$B$2:$B$22,0)-1)*9+MATCH("Past",Parsed!$C$2:$C$10,0))=INDEX(Parsed!$H$2:$H$190,(MATCH(B3,Data!$B$2:$B$22,0)-1)*9+MATCH("Past",Parsed!$C$2:$C$10,0)),INDEX(Parsed!$M$2:$M$190,(MATCH(A3,Data!$B$2:$B$22,0)-1)*9+MATCH("Past",Parsed!$C$2:$C$10,0))*INDEX(Parsed!$I$2:$I$190,(MATCH(B3,Data!$B$2:$B$22,0)-1)*9+MATCH("Past",Parsed!$C$2:$C$10,0)),0)+IF(INDEX(Parsed!$K$2:$K$190,(MATCH(A3,Data!$B$2:$B$22,0)-1)*9+MATCH("D/S",Parsed!$C$2:$C$10,0))=INDEX(Parsed!$H$2:$H$190,(MATCH(B3,Data!$B$2:$B$22,0)-1)*9+MATCH("D/S",Parsed!$C$2:$C$10,0)),INDEX(Parsed!$M$2:$M$190,(MATCH(A3,Data!$B$2:$B$22,0)-1)*9+MATCH("D/S",Parsed!$C$2:$C$10,0))*INDEX(Parsed!$I$2:$I$190,(MATCH(B3,Data!$B$2:$B$22,0)-1)*9+MATCH("D/S",Parsed!$C$2:$C$10,0)),0)+IF(INDEX(Parsed!$K$2:$K$190,(MATCH(A3,Data!$B$2:$B$22,0)-1)*9+MATCH("True/kind",Parsed!$C$2:$C$10,0))=INDEX(Parsed!$H$2:$H$190,(MATCH(B3,Data!$B$2:$B$22,0)-1)*9+MATCH("True/kind",Parsed!$C$2:$C$10,0)),INDEX(Parsed!$M$2:$M$190,(MATCH(A3,Data!$B$2:$B$22,0)-1)*9+MATCH("True/kind",Parsed!$C$2:$C$10,0))*INDEX(Parsed!$I$2:$I$190,(MATCH(B3,Data!$B$2:$B$22,0)-1)*9+MATCH("True/kind",Parsed!$C$2:$C$10,0)),0)+IF(INDEX(Parsed!$K$2:$K$190,(MATCH(A3,Data!$B$2:$B$22,0)-1)*9+MATCH("Animal",Parsed!$C$2:$C$10,0))=INDEX(Parsed!$H$2:$H$190,(MATCH(B3,Data!$B$2:$B$22,0)-1)*9+MATCH("Animal",Parsed!$C$2:$C$10,0)),INDEX(Parsed!$M$2:$M$190,(MATCH(A3,Data!$B$2:$B$22,0)-1)*9+MATCH("Animal",Parsed!$C$2:$C$10,0))*INDEX(Parsed!$I$2:$I$190,(MATCH(B3,Data!$B$2:$B$22,0)-1)*9+MATCH("Animal",Parsed!$C$2:$C$10,0)),0),0)</x:f>
        <x:v>41.25</x:v>
      </x:c>
      <x:c r="E3" s="11" t="n">
        <x:f>SQRT(C3*D3)</x:f>
        <x:v>42.48161366991607</x:v>
      </x:c>
    </x:row>
    <x:row r="4">
      <x:c r="A4" t="str">
        <x:v>joshuah</x:v>
      </x:c>
      <x:c r="B4" t="str">
        <x:v>edith</x:v>
      </x:c>
      <x:c r="C4" s="11" t="n">
        <x:f>IFERROR(IF(INDEX(Parsed!$K$2:$K$190,(MATCH(B4,Data!$B$2:$B$22,0)-1)*9+MATCH("God",Parsed!$C$2:$C$10,0))=INDEX(Parsed!$H$2:$H$190,(MATCH(A4,Data!$B$2:$B$22,0)-1)*9+MATCH("God",Parsed!$C$2:$C$10,0)),INDEX(Parsed!$M$2:$M$190,(MATCH(B4,Data!$B$2:$B$22,0)-1)*9+MATCH("God",Parsed!$C$2:$C$10,0))*INDEX(Parsed!$I$2:$I$190,(MATCH(A4,Data!$B$2:$B$22,0)-1)*9+MATCH("God",Parsed!$C$2:$C$10,0)),0)+IF(INDEX(Parsed!$K$2:$K$190,(MATCH(B4,Data!$B$2:$B$22,0)-1)*9+MATCH("Politics",Parsed!$C$2:$C$10,0))=INDEX(Parsed!$H$2:$H$190,(MATCH(A4,Data!$B$2:$B$22,0)-1)*9+MATCH("Politics",Parsed!$C$2:$C$10,0)),INDEX(Parsed!$M$2:$M$190,(MATCH(B4,Data!$B$2:$B$22,0)-1)*9+MATCH("Politics",Parsed!$C$2:$C$10,0))*INDEX(Parsed!$I$2:$I$190,(MATCH(A4,Data!$B$2:$B$22,0)-1)*9+MATCH("Politics",Parsed!$C$2:$C$10,0)),0)+IF(INDEX(Parsed!$K$2:$K$190,(MATCH(B4,Data!$B$2:$B$22,0)-1)*9+MATCH("Marriage",Parsed!$C$2:$C$10,0))=INDEX(Parsed!$H$2:$H$190,(MATCH(A4,Data!$B$2:$B$22,0)-1)*9+MATCH("Marriage",Parsed!$C$2:$C$10,0)),INDEX(Parsed!$M$2:$M$190,(MATCH(B4,Data!$B$2:$B$22,0)-1)*9+MATCH("Marriage",Parsed!$C$2:$C$10,0))*INDEX(Parsed!$I$2:$I$190,(MATCH(A4,Data!$B$2:$B$22,0)-1)*9+MATCH("Marriage",Parsed!$C$2:$C$10,0)),0)+IF(INDEX(Parsed!$K$2:$K$190,(MATCH(B4,Data!$B$2:$B$22,0)-1)*9+MATCH("Children",Parsed!$C$2:$C$10,0))=INDEX(Parsed!$H$2:$H$190,(MATCH(A4,Data!$B$2:$B$22,0)-1)*9+MATCH("Children",Parsed!$C$2:$C$10,0)),INDEX(Parsed!$M$2:$M$190,(MATCH(B4,Data!$B$2:$B$22,0)-1)*9+MATCH("Children",Parsed!$C$2:$C$10,0))*INDEX(Parsed!$I$2:$I$190,(MATCH(A4,Data!$B$2:$B$22,0)-1)*9+MATCH("Children",Parsed!$C$2:$C$10,0)),0)+IF(INDEX(Parsed!$K$2:$K$190,(MATCH(B4,Data!$B$2:$B$22,0)-1)*9+MATCH("Ethicity",Parsed!$C$2:$C$10,0))=INDEX(Parsed!$H$2:$H$190,(MATCH(A4,Data!$B$2:$B$22,0)-1)*9+MATCH("Ethicity",Parsed!$C$2:$C$10,0)),INDEX(Parsed!$M$2:$M$190,(MATCH(B4,Data!$B$2:$B$22,0)-1)*9+MATCH("Ethicity",Parsed!$C$2:$C$10,0))*INDEX(Parsed!$I$2:$I$190,(MATCH(A4,Data!$B$2:$B$22,0)-1)*9+MATCH("Ethicity",Parsed!$C$2:$C$10,0)),0)+IF(INDEX(Parsed!$K$2:$K$190,(MATCH(B4,Data!$B$2:$B$22,0)-1)*9+MATCH("Past",Parsed!$C$2:$C$10,0))=INDEX(Parsed!$H$2:$H$190,(MATCH(A4,Data!$B$2:$B$22,0)-1)*9+MATCH("Past",Parsed!$C$2:$C$10,0)),INDEX(Parsed!$M$2:$M$190,(MATCH(B4,Data!$B$2:$B$22,0)-1)*9+MATCH("Past",Parsed!$C$2:$C$10,0))*INDEX(Parsed!$I$2:$I$190,(MATCH(A4,Data!$B$2:$B$22,0)-1)*9+MATCH("Past",Parsed!$C$2:$C$10,0)),0)+IF(INDEX(Parsed!$K$2:$K$190,(MATCH(B4,Data!$B$2:$B$22,0)-1)*9+MATCH("D/S",Parsed!$C$2:$C$10,0))=INDEX(Parsed!$H$2:$H$190,(MATCH(A4,Data!$B$2:$B$22,0)-1)*9+MATCH("D/S",Parsed!$C$2:$C$10,0)),INDEX(Parsed!$M$2:$M$190,(MATCH(B4,Data!$B$2:$B$22,0)-1)*9+MATCH("D/S",Parsed!$C$2:$C$10,0))*INDEX(Parsed!$I$2:$I$190,(MATCH(A4,Data!$B$2:$B$22,0)-1)*9+MATCH("D/S",Parsed!$C$2:$C$10,0)),0)+IF(INDEX(Parsed!$K$2:$K$190,(MATCH(B4,Data!$B$2:$B$22,0)-1)*9+MATCH("True/kind",Parsed!$C$2:$C$10,0))=INDEX(Parsed!$H$2:$H$190,(MATCH(A4,Data!$B$2:$B$22,0)-1)*9+MATCH("True/kind",Parsed!$C$2:$C$10,0)),INDEX(Parsed!$M$2:$M$190,(MATCH(B4,Data!$B$2:$B$22,0)-1)*9+MATCH("True/kind",Parsed!$C$2:$C$10,0))*INDEX(Parsed!$I$2:$I$190,(MATCH(A4,Data!$B$2:$B$22,0)-1)*9+MATCH("True/kind",Parsed!$C$2:$C$10,0)),0)+IF(INDEX(Parsed!$K$2:$K$190,(MATCH(B4,Data!$B$2:$B$22,0)-1)*9+MATCH("Animal",Parsed!$C$2:$C$10,0))=INDEX(Parsed!$H$2:$H$190,(MATCH(A4,Data!$B$2:$B$22,0)-1)*9+MATCH("Animal",Parsed!$C$2:$C$10,0)),INDEX(Parsed!$M$2:$M$190,(MATCH(B4,Data!$B$2:$B$22,0)-1)*9+MATCH("Animal",Parsed!$C$2:$C$10,0))*INDEX(Parsed!$I$2:$I$190,(MATCH(A4,Data!$B$2:$B$22,0)-1)*9+MATCH("Animal",Parsed!$C$2:$C$10,0)),0),0)</x:f>
        <x:v>62.5</x:v>
      </x:c>
      <x:c r="D4" s="11" t="n">
        <x:f>IFERROR(IF(INDEX(Parsed!$K$2:$K$190,(MATCH(A4,Data!$B$2:$B$22,0)-1)*9+MATCH("God",Parsed!$C$2:$C$10,0))=INDEX(Parsed!$H$2:$H$190,(MATCH(B4,Data!$B$2:$B$22,0)-1)*9+MATCH("God",Parsed!$C$2:$C$10,0)),INDEX(Parsed!$M$2:$M$190,(MATCH(A4,Data!$B$2:$B$22,0)-1)*9+MATCH("God",Parsed!$C$2:$C$10,0))*INDEX(Parsed!$I$2:$I$190,(MATCH(B4,Data!$B$2:$B$22,0)-1)*9+MATCH("God",Parsed!$C$2:$C$10,0)),0)+IF(INDEX(Parsed!$K$2:$K$190,(MATCH(A4,Data!$B$2:$B$22,0)-1)*9+MATCH("Politics",Parsed!$C$2:$C$10,0))=INDEX(Parsed!$H$2:$H$190,(MATCH(B4,Data!$B$2:$B$22,0)-1)*9+MATCH("Politics",Parsed!$C$2:$C$10,0)),INDEX(Parsed!$M$2:$M$190,(MATCH(A4,Data!$B$2:$B$22,0)-1)*9+MATCH("Politics",Parsed!$C$2:$C$10,0))*INDEX(Parsed!$I$2:$I$190,(MATCH(B4,Data!$B$2:$B$22,0)-1)*9+MATCH("Politics",Parsed!$C$2:$C$10,0)),0)+IF(INDEX(Parsed!$K$2:$K$190,(MATCH(A4,Data!$B$2:$B$22,0)-1)*9+MATCH("Marriage",Parsed!$C$2:$C$10,0))=INDEX(Parsed!$H$2:$H$190,(MATCH(B4,Data!$B$2:$B$22,0)-1)*9+MATCH("Marriage",Parsed!$C$2:$C$10,0)),INDEX(Parsed!$M$2:$M$190,(MATCH(A4,Data!$B$2:$B$22,0)-1)*9+MATCH("Marriage",Parsed!$C$2:$C$10,0))*INDEX(Parsed!$I$2:$I$190,(MATCH(B4,Data!$B$2:$B$22,0)-1)*9+MATCH("Marriage",Parsed!$C$2:$C$10,0)),0)+IF(INDEX(Parsed!$K$2:$K$190,(MATCH(A4,Data!$B$2:$B$22,0)-1)*9+MATCH("Children",Parsed!$C$2:$C$10,0))=INDEX(Parsed!$H$2:$H$190,(MATCH(B4,Data!$B$2:$B$22,0)-1)*9+MATCH("Children",Parsed!$C$2:$C$10,0)),INDEX(Parsed!$M$2:$M$190,(MATCH(A4,Data!$B$2:$B$22,0)-1)*9+MATCH("Children",Parsed!$C$2:$C$10,0))*INDEX(Parsed!$I$2:$I$190,(MATCH(B4,Data!$B$2:$B$22,0)-1)*9+MATCH("Children",Parsed!$C$2:$C$10,0)),0)+IF(INDEX(Parsed!$K$2:$K$190,(MATCH(A4,Data!$B$2:$B$22,0)-1)*9+MATCH("Ethicity",Parsed!$C$2:$C$10,0))=INDEX(Parsed!$H$2:$H$190,(MATCH(B4,Data!$B$2:$B$22,0)-1)*9+MATCH("Ethicity",Parsed!$C$2:$C$10,0)),INDEX(Parsed!$M$2:$M$190,(MATCH(A4,Data!$B$2:$B$22,0)-1)*9+MATCH("Ethicity",Parsed!$C$2:$C$10,0))*INDEX(Parsed!$I$2:$I$190,(MATCH(B4,Data!$B$2:$B$22,0)-1)*9+MATCH("Ethicity",Parsed!$C$2:$C$10,0)),0)+IF(INDEX(Parsed!$K$2:$K$190,(MATCH(A4,Data!$B$2:$B$22,0)-1)*9+MATCH("Past",Parsed!$C$2:$C$10,0))=INDEX(Parsed!$H$2:$H$190,(MATCH(B4,Data!$B$2:$B$22,0)-1)*9+MATCH("Past",Parsed!$C$2:$C$10,0)),INDEX(Parsed!$M$2:$M$190,(MATCH(A4,Data!$B$2:$B$22,0)-1)*9+MATCH("Past",Parsed!$C$2:$C$10,0))*INDEX(Parsed!$I$2:$I$190,(MATCH(B4,Data!$B$2:$B$22,0)-1)*9+MATCH("Past",Parsed!$C$2:$C$10,0)),0)+IF(INDEX(Parsed!$K$2:$K$190,(MATCH(A4,Data!$B$2:$B$22,0)-1)*9+MATCH("D/S",Parsed!$C$2:$C$10,0))=INDEX(Parsed!$H$2:$H$190,(MATCH(B4,Data!$B$2:$B$22,0)-1)*9+MATCH("D/S",Parsed!$C$2:$C$10,0)),INDEX(Parsed!$M$2:$M$190,(MATCH(A4,Data!$B$2:$B$22,0)-1)*9+MATCH("D/S",Parsed!$C$2:$C$10,0))*INDEX(Parsed!$I$2:$I$190,(MATCH(B4,Data!$B$2:$B$22,0)-1)*9+MATCH("D/S",Parsed!$C$2:$C$10,0)),0)+IF(INDEX(Parsed!$K$2:$K$190,(MATCH(A4,Data!$B$2:$B$22,0)-1)*9+MATCH("True/kind",Parsed!$C$2:$C$10,0))=INDEX(Parsed!$H$2:$H$190,(MATCH(B4,Data!$B$2:$B$22,0)-1)*9+MATCH("True/kind",Parsed!$C$2:$C$10,0)),INDEX(Parsed!$M$2:$M$190,(MATCH(A4,Data!$B$2:$B$22,0)-1)*9+MATCH("True/kind",Parsed!$C$2:$C$10,0))*INDEX(Parsed!$I$2:$I$190,(MATCH(B4,Data!$B$2:$B$22,0)-1)*9+MATCH("True/kind",Parsed!$C$2:$C$10,0)),0)+IF(INDEX(Parsed!$K$2:$K$190,(MATCH(A4,Data!$B$2:$B$22,0)-1)*9+MATCH("Animal",Parsed!$C$2:$C$10,0))=INDEX(Parsed!$H$2:$H$190,(MATCH(B4,Data!$B$2:$B$22,0)-1)*9+MATCH("Animal",Parsed!$C$2:$C$10,0)),INDEX(Parsed!$M$2:$M$190,(MATCH(A4,Data!$B$2:$B$22,0)-1)*9+MATCH("Animal",Parsed!$C$2:$C$10,0))*INDEX(Parsed!$I$2:$I$190,(MATCH(B4,Data!$B$2:$B$22,0)-1)*9+MATCH("Animal",Parsed!$C$2:$C$10,0)),0),0)</x:f>
        <x:v>46.25</x:v>
      </x:c>
      <x:c r="E4" s="11" t="n">
        <x:f>SQRT(C4*D4)</x:f>
        <x:v>53.76453291901642</x:v>
      </x:c>
    </x:row>
    <x:row r="5">
      <x:c r="A5" t="str">
        <x:v>joshuah</x:v>
      </x:c>
      <x:c r="B5" t="str">
        <x:v>sophiah</x:v>
      </x:c>
      <x:c r="C5" s="11" t="n">
        <x:f>IFERROR(IF(INDEX(Parsed!$K$2:$K$190,(MATCH(B5,Data!$B$2:$B$22,0)-1)*9+MATCH("God",Parsed!$C$2:$C$10,0))=INDEX(Parsed!$H$2:$H$190,(MATCH(A5,Data!$B$2:$B$22,0)-1)*9+MATCH("God",Parsed!$C$2:$C$10,0)),INDEX(Parsed!$M$2:$M$190,(MATCH(B5,Data!$B$2:$B$22,0)-1)*9+MATCH("God",Parsed!$C$2:$C$10,0))*INDEX(Parsed!$I$2:$I$190,(MATCH(A5,Data!$B$2:$B$22,0)-1)*9+MATCH("God",Parsed!$C$2:$C$10,0)),0)+IF(INDEX(Parsed!$K$2:$K$190,(MATCH(B5,Data!$B$2:$B$22,0)-1)*9+MATCH("Politics",Parsed!$C$2:$C$10,0))=INDEX(Parsed!$H$2:$H$190,(MATCH(A5,Data!$B$2:$B$22,0)-1)*9+MATCH("Politics",Parsed!$C$2:$C$10,0)),INDEX(Parsed!$M$2:$M$190,(MATCH(B5,Data!$B$2:$B$22,0)-1)*9+MATCH("Politics",Parsed!$C$2:$C$10,0))*INDEX(Parsed!$I$2:$I$190,(MATCH(A5,Data!$B$2:$B$22,0)-1)*9+MATCH("Politics",Parsed!$C$2:$C$10,0)),0)+IF(INDEX(Parsed!$K$2:$K$190,(MATCH(B5,Data!$B$2:$B$22,0)-1)*9+MATCH("Marriage",Parsed!$C$2:$C$10,0))=INDEX(Parsed!$H$2:$H$190,(MATCH(A5,Data!$B$2:$B$22,0)-1)*9+MATCH("Marriage",Parsed!$C$2:$C$10,0)),INDEX(Parsed!$M$2:$M$190,(MATCH(B5,Data!$B$2:$B$22,0)-1)*9+MATCH("Marriage",Parsed!$C$2:$C$10,0))*INDEX(Parsed!$I$2:$I$190,(MATCH(A5,Data!$B$2:$B$22,0)-1)*9+MATCH("Marriage",Parsed!$C$2:$C$10,0)),0)+IF(INDEX(Parsed!$K$2:$K$190,(MATCH(B5,Data!$B$2:$B$22,0)-1)*9+MATCH("Children",Parsed!$C$2:$C$10,0))=INDEX(Parsed!$H$2:$H$190,(MATCH(A5,Data!$B$2:$B$22,0)-1)*9+MATCH("Children",Parsed!$C$2:$C$10,0)),INDEX(Parsed!$M$2:$M$190,(MATCH(B5,Data!$B$2:$B$22,0)-1)*9+MATCH("Children",Parsed!$C$2:$C$10,0))*INDEX(Parsed!$I$2:$I$190,(MATCH(A5,Data!$B$2:$B$22,0)-1)*9+MATCH("Children",Parsed!$C$2:$C$10,0)),0)+IF(INDEX(Parsed!$K$2:$K$190,(MATCH(B5,Data!$B$2:$B$22,0)-1)*9+MATCH("Ethicity",Parsed!$C$2:$C$10,0))=INDEX(Parsed!$H$2:$H$190,(MATCH(A5,Data!$B$2:$B$22,0)-1)*9+MATCH("Ethicity",Parsed!$C$2:$C$10,0)),INDEX(Parsed!$M$2:$M$190,(MATCH(B5,Data!$B$2:$B$22,0)-1)*9+MATCH("Ethicity",Parsed!$C$2:$C$10,0))*INDEX(Parsed!$I$2:$I$190,(MATCH(A5,Data!$B$2:$B$22,0)-1)*9+MATCH("Ethicity",Parsed!$C$2:$C$10,0)),0)+IF(INDEX(Parsed!$K$2:$K$190,(MATCH(B5,Data!$B$2:$B$22,0)-1)*9+MATCH("Past",Parsed!$C$2:$C$10,0))=INDEX(Parsed!$H$2:$H$190,(MATCH(A5,Data!$B$2:$B$22,0)-1)*9+MATCH("Past",Parsed!$C$2:$C$10,0)),INDEX(Parsed!$M$2:$M$190,(MATCH(B5,Data!$B$2:$B$22,0)-1)*9+MATCH("Past",Parsed!$C$2:$C$10,0))*INDEX(Parsed!$I$2:$I$190,(MATCH(A5,Data!$B$2:$B$22,0)-1)*9+MATCH("Past",Parsed!$C$2:$C$10,0)),0)+IF(INDEX(Parsed!$K$2:$K$190,(MATCH(B5,Data!$B$2:$B$22,0)-1)*9+MATCH("D/S",Parsed!$C$2:$C$10,0))=INDEX(Parsed!$H$2:$H$190,(MATCH(A5,Data!$B$2:$B$22,0)-1)*9+MATCH("D/S",Parsed!$C$2:$C$10,0)),INDEX(Parsed!$M$2:$M$190,(MATCH(B5,Data!$B$2:$B$22,0)-1)*9+MATCH("D/S",Parsed!$C$2:$C$10,0))*INDEX(Parsed!$I$2:$I$190,(MATCH(A5,Data!$B$2:$B$22,0)-1)*9+MATCH("D/S",Parsed!$C$2:$C$10,0)),0)+IF(INDEX(Parsed!$K$2:$K$190,(MATCH(B5,Data!$B$2:$B$22,0)-1)*9+MATCH("True/kind",Parsed!$C$2:$C$10,0))=INDEX(Parsed!$H$2:$H$190,(MATCH(A5,Data!$B$2:$B$22,0)-1)*9+MATCH("True/kind",Parsed!$C$2:$C$10,0)),INDEX(Parsed!$M$2:$M$190,(MATCH(B5,Data!$B$2:$B$22,0)-1)*9+MATCH("True/kind",Parsed!$C$2:$C$10,0))*INDEX(Parsed!$I$2:$I$190,(MATCH(A5,Data!$B$2:$B$22,0)-1)*9+MATCH("True/kind",Parsed!$C$2:$C$10,0)),0)+IF(INDEX(Parsed!$K$2:$K$190,(MATCH(B5,Data!$B$2:$B$22,0)-1)*9+MATCH("Animal",Parsed!$C$2:$C$10,0))=INDEX(Parsed!$H$2:$H$190,(MATCH(A5,Data!$B$2:$B$22,0)-1)*9+MATCH("Animal",Parsed!$C$2:$C$10,0)),INDEX(Parsed!$M$2:$M$190,(MATCH(B5,Data!$B$2:$B$22,0)-1)*9+MATCH("Animal",Parsed!$C$2:$C$10,0))*INDEX(Parsed!$I$2:$I$190,(MATCH(A5,Data!$B$2:$B$22,0)-1)*9+MATCH("Animal",Parsed!$C$2:$C$10,0)),0),0)</x:f>
        <x:v>38.75</x:v>
      </x:c>
      <x:c r="D5" s="11" t="n">
        <x:f>IFERROR(IF(INDEX(Parsed!$K$2:$K$190,(MATCH(A5,Data!$B$2:$B$22,0)-1)*9+MATCH("God",Parsed!$C$2:$C$10,0))=INDEX(Parsed!$H$2:$H$190,(MATCH(B5,Data!$B$2:$B$22,0)-1)*9+MATCH("God",Parsed!$C$2:$C$10,0)),INDEX(Parsed!$M$2:$M$190,(MATCH(A5,Data!$B$2:$B$22,0)-1)*9+MATCH("God",Parsed!$C$2:$C$10,0))*INDEX(Parsed!$I$2:$I$190,(MATCH(B5,Data!$B$2:$B$22,0)-1)*9+MATCH("God",Parsed!$C$2:$C$10,0)),0)+IF(INDEX(Parsed!$K$2:$K$190,(MATCH(A5,Data!$B$2:$B$22,0)-1)*9+MATCH("Politics",Parsed!$C$2:$C$10,0))=INDEX(Parsed!$H$2:$H$190,(MATCH(B5,Data!$B$2:$B$22,0)-1)*9+MATCH("Politics",Parsed!$C$2:$C$10,0)),INDEX(Parsed!$M$2:$M$190,(MATCH(A5,Data!$B$2:$B$22,0)-1)*9+MATCH("Politics",Parsed!$C$2:$C$10,0))*INDEX(Parsed!$I$2:$I$190,(MATCH(B5,Data!$B$2:$B$22,0)-1)*9+MATCH("Politics",Parsed!$C$2:$C$10,0)),0)+IF(INDEX(Parsed!$K$2:$K$190,(MATCH(A5,Data!$B$2:$B$22,0)-1)*9+MATCH("Marriage",Parsed!$C$2:$C$10,0))=INDEX(Parsed!$H$2:$H$190,(MATCH(B5,Data!$B$2:$B$22,0)-1)*9+MATCH("Marriage",Parsed!$C$2:$C$10,0)),INDEX(Parsed!$M$2:$M$190,(MATCH(A5,Data!$B$2:$B$22,0)-1)*9+MATCH("Marriage",Parsed!$C$2:$C$10,0))*INDEX(Parsed!$I$2:$I$190,(MATCH(B5,Data!$B$2:$B$22,0)-1)*9+MATCH("Marriage",Parsed!$C$2:$C$10,0)),0)+IF(INDEX(Parsed!$K$2:$K$190,(MATCH(A5,Data!$B$2:$B$22,0)-1)*9+MATCH("Children",Parsed!$C$2:$C$10,0))=INDEX(Parsed!$H$2:$H$190,(MATCH(B5,Data!$B$2:$B$22,0)-1)*9+MATCH("Children",Parsed!$C$2:$C$10,0)),INDEX(Parsed!$M$2:$M$190,(MATCH(A5,Data!$B$2:$B$22,0)-1)*9+MATCH("Children",Parsed!$C$2:$C$10,0))*INDEX(Parsed!$I$2:$I$190,(MATCH(B5,Data!$B$2:$B$22,0)-1)*9+MATCH("Children",Parsed!$C$2:$C$10,0)),0)+IF(INDEX(Parsed!$K$2:$K$190,(MATCH(A5,Data!$B$2:$B$22,0)-1)*9+MATCH("Ethicity",Parsed!$C$2:$C$10,0))=INDEX(Parsed!$H$2:$H$190,(MATCH(B5,Data!$B$2:$B$22,0)-1)*9+MATCH("Ethicity",Parsed!$C$2:$C$10,0)),INDEX(Parsed!$M$2:$M$190,(MATCH(A5,Data!$B$2:$B$22,0)-1)*9+MATCH("Ethicity",Parsed!$C$2:$C$10,0))*INDEX(Parsed!$I$2:$I$190,(MATCH(B5,Data!$B$2:$B$22,0)-1)*9+MATCH("Ethicity",Parsed!$C$2:$C$10,0)),0)+IF(INDEX(Parsed!$K$2:$K$190,(MATCH(A5,Data!$B$2:$B$22,0)-1)*9+MATCH("Past",Parsed!$C$2:$C$10,0))=INDEX(Parsed!$H$2:$H$190,(MATCH(B5,Data!$B$2:$B$22,0)-1)*9+MATCH("Past",Parsed!$C$2:$C$10,0)),INDEX(Parsed!$M$2:$M$190,(MATCH(A5,Data!$B$2:$B$22,0)-1)*9+MATCH("Past",Parsed!$C$2:$C$10,0))*INDEX(Parsed!$I$2:$I$190,(MATCH(B5,Data!$B$2:$B$22,0)-1)*9+MATCH("Past",Parsed!$C$2:$C$10,0)),0)+IF(INDEX(Parsed!$K$2:$K$190,(MATCH(A5,Data!$B$2:$B$22,0)-1)*9+MATCH("D/S",Parsed!$C$2:$C$10,0))=INDEX(Parsed!$H$2:$H$190,(MATCH(B5,Data!$B$2:$B$22,0)-1)*9+MATCH("D/S",Parsed!$C$2:$C$10,0)),INDEX(Parsed!$M$2:$M$190,(MATCH(A5,Data!$B$2:$B$22,0)-1)*9+MATCH("D/S",Parsed!$C$2:$C$10,0))*INDEX(Parsed!$I$2:$I$190,(MATCH(B5,Data!$B$2:$B$22,0)-1)*9+MATCH("D/S",Parsed!$C$2:$C$10,0)),0)+IF(INDEX(Parsed!$K$2:$K$190,(MATCH(A5,Data!$B$2:$B$22,0)-1)*9+MATCH("True/kind",Parsed!$C$2:$C$10,0))=INDEX(Parsed!$H$2:$H$190,(MATCH(B5,Data!$B$2:$B$22,0)-1)*9+MATCH("True/kind",Parsed!$C$2:$C$10,0)),INDEX(Parsed!$M$2:$M$190,(MATCH(A5,Data!$B$2:$B$22,0)-1)*9+MATCH("True/kind",Parsed!$C$2:$C$10,0))*INDEX(Parsed!$I$2:$I$190,(MATCH(B5,Data!$B$2:$B$22,0)-1)*9+MATCH("True/kind",Parsed!$C$2:$C$10,0)),0)+IF(INDEX(Parsed!$K$2:$K$190,(MATCH(A5,Data!$B$2:$B$22,0)-1)*9+MATCH("Animal",Parsed!$C$2:$C$10,0))=INDEX(Parsed!$H$2:$H$190,(MATCH(B5,Data!$B$2:$B$22,0)-1)*9+MATCH("Animal",Parsed!$C$2:$C$10,0)),INDEX(Parsed!$M$2:$M$190,(MATCH(A5,Data!$B$2:$B$22,0)-1)*9+MATCH("Animal",Parsed!$C$2:$C$10,0))*INDEX(Parsed!$I$2:$I$190,(MATCH(B5,Data!$B$2:$B$22,0)-1)*9+MATCH("Animal",Parsed!$C$2:$C$10,0)),0),0)</x:f>
        <x:v>20</x:v>
      </x:c>
      <x:c r="E5" s="11" t="n">
        <x:f>SQRT(C5*D5)</x:f>
        <x:v>27.83882181415011</x:v>
      </x:c>
    </x:row>
    <x:row r="6">
      <x:c r="A6" t="str">
        <x:v>joshuah</x:v>
      </x:c>
      <x:c r="B6" t="str">
        <x:v>angela</x:v>
      </x:c>
      <x:c r="C6" s="11" t="n">
        <x:f>IFERROR(IF(INDEX(Parsed!$K$2:$K$190,(MATCH(B6,Data!$B$2:$B$22,0)-1)*9+MATCH("God",Parsed!$C$2:$C$10,0))=INDEX(Parsed!$H$2:$H$190,(MATCH(A6,Data!$B$2:$B$22,0)-1)*9+MATCH("God",Parsed!$C$2:$C$10,0)),INDEX(Parsed!$M$2:$M$190,(MATCH(B6,Data!$B$2:$B$22,0)-1)*9+MATCH("God",Parsed!$C$2:$C$10,0))*INDEX(Parsed!$I$2:$I$190,(MATCH(A6,Data!$B$2:$B$22,0)-1)*9+MATCH("God",Parsed!$C$2:$C$10,0)),0)+IF(INDEX(Parsed!$K$2:$K$190,(MATCH(B6,Data!$B$2:$B$22,0)-1)*9+MATCH("Politics",Parsed!$C$2:$C$10,0))=INDEX(Parsed!$H$2:$H$190,(MATCH(A6,Data!$B$2:$B$22,0)-1)*9+MATCH("Politics",Parsed!$C$2:$C$10,0)),INDEX(Parsed!$M$2:$M$190,(MATCH(B6,Data!$B$2:$B$22,0)-1)*9+MATCH("Politics",Parsed!$C$2:$C$10,0))*INDEX(Parsed!$I$2:$I$190,(MATCH(A6,Data!$B$2:$B$22,0)-1)*9+MATCH("Politics",Parsed!$C$2:$C$10,0)),0)+IF(INDEX(Parsed!$K$2:$K$190,(MATCH(B6,Data!$B$2:$B$22,0)-1)*9+MATCH("Marriage",Parsed!$C$2:$C$10,0))=INDEX(Parsed!$H$2:$H$190,(MATCH(A6,Data!$B$2:$B$22,0)-1)*9+MATCH("Marriage",Parsed!$C$2:$C$10,0)),INDEX(Parsed!$M$2:$M$190,(MATCH(B6,Data!$B$2:$B$22,0)-1)*9+MATCH("Marriage",Parsed!$C$2:$C$10,0))*INDEX(Parsed!$I$2:$I$190,(MATCH(A6,Data!$B$2:$B$22,0)-1)*9+MATCH("Marriage",Parsed!$C$2:$C$10,0)),0)+IF(INDEX(Parsed!$K$2:$K$190,(MATCH(B6,Data!$B$2:$B$22,0)-1)*9+MATCH("Children",Parsed!$C$2:$C$10,0))=INDEX(Parsed!$H$2:$H$190,(MATCH(A6,Data!$B$2:$B$22,0)-1)*9+MATCH("Children",Parsed!$C$2:$C$10,0)),INDEX(Parsed!$M$2:$M$190,(MATCH(B6,Data!$B$2:$B$22,0)-1)*9+MATCH("Children",Parsed!$C$2:$C$10,0))*INDEX(Parsed!$I$2:$I$190,(MATCH(A6,Data!$B$2:$B$22,0)-1)*9+MATCH("Children",Parsed!$C$2:$C$10,0)),0)+IF(INDEX(Parsed!$K$2:$K$190,(MATCH(B6,Data!$B$2:$B$22,0)-1)*9+MATCH("Ethicity",Parsed!$C$2:$C$10,0))=INDEX(Parsed!$H$2:$H$190,(MATCH(A6,Data!$B$2:$B$22,0)-1)*9+MATCH("Ethicity",Parsed!$C$2:$C$10,0)),INDEX(Parsed!$M$2:$M$190,(MATCH(B6,Data!$B$2:$B$22,0)-1)*9+MATCH("Ethicity",Parsed!$C$2:$C$10,0))*INDEX(Parsed!$I$2:$I$190,(MATCH(A6,Data!$B$2:$B$22,0)-1)*9+MATCH("Ethicity",Parsed!$C$2:$C$10,0)),0)+IF(INDEX(Parsed!$K$2:$K$190,(MATCH(B6,Data!$B$2:$B$22,0)-1)*9+MATCH("Past",Parsed!$C$2:$C$10,0))=INDEX(Parsed!$H$2:$H$190,(MATCH(A6,Data!$B$2:$B$22,0)-1)*9+MATCH("Past",Parsed!$C$2:$C$10,0)),INDEX(Parsed!$M$2:$M$190,(MATCH(B6,Data!$B$2:$B$22,0)-1)*9+MATCH("Past",Parsed!$C$2:$C$10,0))*INDEX(Parsed!$I$2:$I$190,(MATCH(A6,Data!$B$2:$B$22,0)-1)*9+MATCH("Past",Parsed!$C$2:$C$10,0)),0)+IF(INDEX(Parsed!$K$2:$K$190,(MATCH(B6,Data!$B$2:$B$22,0)-1)*9+MATCH("D/S",Parsed!$C$2:$C$10,0))=INDEX(Parsed!$H$2:$H$190,(MATCH(A6,Data!$B$2:$B$22,0)-1)*9+MATCH("D/S",Parsed!$C$2:$C$10,0)),INDEX(Parsed!$M$2:$M$190,(MATCH(B6,Data!$B$2:$B$22,0)-1)*9+MATCH("D/S",Parsed!$C$2:$C$10,0))*INDEX(Parsed!$I$2:$I$190,(MATCH(A6,Data!$B$2:$B$22,0)-1)*9+MATCH("D/S",Parsed!$C$2:$C$10,0)),0)+IF(INDEX(Parsed!$K$2:$K$190,(MATCH(B6,Data!$B$2:$B$22,0)-1)*9+MATCH("True/kind",Parsed!$C$2:$C$10,0))=INDEX(Parsed!$H$2:$H$190,(MATCH(A6,Data!$B$2:$B$22,0)-1)*9+MATCH("True/kind",Parsed!$C$2:$C$10,0)),INDEX(Parsed!$M$2:$M$190,(MATCH(B6,Data!$B$2:$B$22,0)-1)*9+MATCH("True/kind",Parsed!$C$2:$C$10,0))*INDEX(Parsed!$I$2:$I$190,(MATCH(A6,Data!$B$2:$B$22,0)-1)*9+MATCH("True/kind",Parsed!$C$2:$C$10,0)),0)+IF(INDEX(Parsed!$K$2:$K$190,(MATCH(B6,Data!$B$2:$B$22,0)-1)*9+MATCH("Animal",Parsed!$C$2:$C$10,0))=INDEX(Parsed!$H$2:$H$190,(MATCH(A6,Data!$B$2:$B$22,0)-1)*9+MATCH("Animal",Parsed!$C$2:$C$10,0)),INDEX(Parsed!$M$2:$M$190,(MATCH(B6,Data!$B$2:$B$22,0)-1)*9+MATCH("Animal",Parsed!$C$2:$C$10,0))*INDEX(Parsed!$I$2:$I$190,(MATCH(A6,Data!$B$2:$B$22,0)-1)*9+MATCH("Animal",Parsed!$C$2:$C$10,0)),0),0)</x:f>
        <x:v>60</x:v>
      </x:c>
      <x:c r="D6" s="11" t="n">
        <x:f>IFERROR(IF(INDEX(Parsed!$K$2:$K$190,(MATCH(A6,Data!$B$2:$B$22,0)-1)*9+MATCH("God",Parsed!$C$2:$C$10,0))=INDEX(Parsed!$H$2:$H$190,(MATCH(B6,Data!$B$2:$B$22,0)-1)*9+MATCH("God",Parsed!$C$2:$C$10,0)),INDEX(Parsed!$M$2:$M$190,(MATCH(A6,Data!$B$2:$B$22,0)-1)*9+MATCH("God",Parsed!$C$2:$C$10,0))*INDEX(Parsed!$I$2:$I$190,(MATCH(B6,Data!$B$2:$B$22,0)-1)*9+MATCH("God",Parsed!$C$2:$C$10,0)),0)+IF(INDEX(Parsed!$K$2:$K$190,(MATCH(A6,Data!$B$2:$B$22,0)-1)*9+MATCH("Politics",Parsed!$C$2:$C$10,0))=INDEX(Parsed!$H$2:$H$190,(MATCH(B6,Data!$B$2:$B$22,0)-1)*9+MATCH("Politics",Parsed!$C$2:$C$10,0)),INDEX(Parsed!$M$2:$M$190,(MATCH(A6,Data!$B$2:$B$22,0)-1)*9+MATCH("Politics",Parsed!$C$2:$C$10,0))*INDEX(Parsed!$I$2:$I$190,(MATCH(B6,Data!$B$2:$B$22,0)-1)*9+MATCH("Politics",Parsed!$C$2:$C$10,0)),0)+IF(INDEX(Parsed!$K$2:$K$190,(MATCH(A6,Data!$B$2:$B$22,0)-1)*9+MATCH("Marriage",Parsed!$C$2:$C$10,0))=INDEX(Parsed!$H$2:$H$190,(MATCH(B6,Data!$B$2:$B$22,0)-1)*9+MATCH("Marriage",Parsed!$C$2:$C$10,0)),INDEX(Parsed!$M$2:$M$190,(MATCH(A6,Data!$B$2:$B$22,0)-1)*9+MATCH("Marriage",Parsed!$C$2:$C$10,0))*INDEX(Parsed!$I$2:$I$190,(MATCH(B6,Data!$B$2:$B$22,0)-1)*9+MATCH("Marriage",Parsed!$C$2:$C$10,0)),0)+IF(INDEX(Parsed!$K$2:$K$190,(MATCH(A6,Data!$B$2:$B$22,0)-1)*9+MATCH("Children",Parsed!$C$2:$C$10,0))=INDEX(Parsed!$H$2:$H$190,(MATCH(B6,Data!$B$2:$B$22,0)-1)*9+MATCH("Children",Parsed!$C$2:$C$10,0)),INDEX(Parsed!$M$2:$M$190,(MATCH(A6,Data!$B$2:$B$22,0)-1)*9+MATCH("Children",Parsed!$C$2:$C$10,0))*INDEX(Parsed!$I$2:$I$190,(MATCH(B6,Data!$B$2:$B$22,0)-1)*9+MATCH("Children",Parsed!$C$2:$C$10,0)),0)+IF(INDEX(Parsed!$K$2:$K$190,(MATCH(A6,Data!$B$2:$B$22,0)-1)*9+MATCH("Ethicity",Parsed!$C$2:$C$10,0))=INDEX(Parsed!$H$2:$H$190,(MATCH(B6,Data!$B$2:$B$22,0)-1)*9+MATCH("Ethicity",Parsed!$C$2:$C$10,0)),INDEX(Parsed!$M$2:$M$190,(MATCH(A6,Data!$B$2:$B$22,0)-1)*9+MATCH("Ethicity",Parsed!$C$2:$C$10,0))*INDEX(Parsed!$I$2:$I$190,(MATCH(B6,Data!$B$2:$B$22,0)-1)*9+MATCH("Ethicity",Parsed!$C$2:$C$10,0)),0)+IF(INDEX(Parsed!$K$2:$K$190,(MATCH(A6,Data!$B$2:$B$22,0)-1)*9+MATCH("Past",Parsed!$C$2:$C$10,0))=INDEX(Parsed!$H$2:$H$190,(MATCH(B6,Data!$B$2:$B$22,0)-1)*9+MATCH("Past",Parsed!$C$2:$C$10,0)),INDEX(Parsed!$M$2:$M$190,(MATCH(A6,Data!$B$2:$B$22,0)-1)*9+MATCH("Past",Parsed!$C$2:$C$10,0))*INDEX(Parsed!$I$2:$I$190,(MATCH(B6,Data!$B$2:$B$22,0)-1)*9+MATCH("Past",Parsed!$C$2:$C$10,0)),0)+IF(INDEX(Parsed!$K$2:$K$190,(MATCH(A6,Data!$B$2:$B$22,0)-1)*9+MATCH("D/S",Parsed!$C$2:$C$10,0))=INDEX(Parsed!$H$2:$H$190,(MATCH(B6,Data!$B$2:$B$22,0)-1)*9+MATCH("D/S",Parsed!$C$2:$C$10,0)),INDEX(Parsed!$M$2:$M$190,(MATCH(A6,Data!$B$2:$B$22,0)-1)*9+MATCH("D/S",Parsed!$C$2:$C$10,0))*INDEX(Parsed!$I$2:$I$190,(MATCH(B6,Data!$B$2:$B$22,0)-1)*9+MATCH("D/S",Parsed!$C$2:$C$10,0)),0)+IF(INDEX(Parsed!$K$2:$K$190,(MATCH(A6,Data!$B$2:$B$22,0)-1)*9+MATCH("True/kind",Parsed!$C$2:$C$10,0))=INDEX(Parsed!$H$2:$H$190,(MATCH(B6,Data!$B$2:$B$22,0)-1)*9+MATCH("True/kind",Parsed!$C$2:$C$10,0)),INDEX(Parsed!$M$2:$M$190,(MATCH(A6,Data!$B$2:$B$22,0)-1)*9+MATCH("True/kind",Parsed!$C$2:$C$10,0))*INDEX(Parsed!$I$2:$I$190,(MATCH(B6,Data!$B$2:$B$22,0)-1)*9+MATCH("True/kind",Parsed!$C$2:$C$10,0)),0)+IF(INDEX(Parsed!$K$2:$K$190,(MATCH(A6,Data!$B$2:$B$22,0)-1)*9+MATCH("Animal",Parsed!$C$2:$C$10,0))=INDEX(Parsed!$H$2:$H$190,(MATCH(B6,Data!$B$2:$B$22,0)-1)*9+MATCH("Animal",Parsed!$C$2:$C$10,0)),INDEX(Parsed!$M$2:$M$190,(MATCH(A6,Data!$B$2:$B$22,0)-1)*9+MATCH("Animal",Parsed!$C$2:$C$10,0))*INDEX(Parsed!$I$2:$I$190,(MATCH(B6,Data!$B$2:$B$22,0)-1)*9+MATCH("Animal",Parsed!$C$2:$C$10,0)),0),0)</x:f>
        <x:v>58.75</x:v>
      </x:c>
      <x:c r="E6" s="11" t="n">
        <x:f>SQRT(C6*D6)</x:f>
        <x:v>59.371710435189584</x:v>
      </x:c>
    </x:row>
    <x:row r="7">
      <x:c r="A7" t="str">
        <x:v>joshuah</x:v>
      </x:c>
      <x:c r="B7" t="str">
        <x:v>issabel</x:v>
      </x:c>
      <x:c r="C7" s="11" t="n">
        <x:f>IFERROR(IF(INDEX(Parsed!$K$2:$K$190,(MATCH(B7,Data!$B$2:$B$22,0)-1)*9+MATCH("God",Parsed!$C$2:$C$10,0))=INDEX(Parsed!$H$2:$H$190,(MATCH(A7,Data!$B$2:$B$22,0)-1)*9+MATCH("God",Parsed!$C$2:$C$10,0)),INDEX(Parsed!$M$2:$M$190,(MATCH(B7,Data!$B$2:$B$22,0)-1)*9+MATCH("God",Parsed!$C$2:$C$10,0))*INDEX(Parsed!$I$2:$I$190,(MATCH(A7,Data!$B$2:$B$22,0)-1)*9+MATCH("God",Parsed!$C$2:$C$10,0)),0)+IF(INDEX(Parsed!$K$2:$K$190,(MATCH(B7,Data!$B$2:$B$22,0)-1)*9+MATCH("Politics",Parsed!$C$2:$C$10,0))=INDEX(Parsed!$H$2:$H$190,(MATCH(A7,Data!$B$2:$B$22,0)-1)*9+MATCH("Politics",Parsed!$C$2:$C$10,0)),INDEX(Parsed!$M$2:$M$190,(MATCH(B7,Data!$B$2:$B$22,0)-1)*9+MATCH("Politics",Parsed!$C$2:$C$10,0))*INDEX(Parsed!$I$2:$I$190,(MATCH(A7,Data!$B$2:$B$22,0)-1)*9+MATCH("Politics",Parsed!$C$2:$C$10,0)),0)+IF(INDEX(Parsed!$K$2:$K$190,(MATCH(B7,Data!$B$2:$B$22,0)-1)*9+MATCH("Marriage",Parsed!$C$2:$C$10,0))=INDEX(Parsed!$H$2:$H$190,(MATCH(A7,Data!$B$2:$B$22,0)-1)*9+MATCH("Marriage",Parsed!$C$2:$C$10,0)),INDEX(Parsed!$M$2:$M$190,(MATCH(B7,Data!$B$2:$B$22,0)-1)*9+MATCH("Marriage",Parsed!$C$2:$C$10,0))*INDEX(Parsed!$I$2:$I$190,(MATCH(A7,Data!$B$2:$B$22,0)-1)*9+MATCH("Marriage",Parsed!$C$2:$C$10,0)),0)+IF(INDEX(Parsed!$K$2:$K$190,(MATCH(B7,Data!$B$2:$B$22,0)-1)*9+MATCH("Children",Parsed!$C$2:$C$10,0))=INDEX(Parsed!$H$2:$H$190,(MATCH(A7,Data!$B$2:$B$22,0)-1)*9+MATCH("Children",Parsed!$C$2:$C$10,0)),INDEX(Parsed!$M$2:$M$190,(MATCH(B7,Data!$B$2:$B$22,0)-1)*9+MATCH("Children",Parsed!$C$2:$C$10,0))*INDEX(Parsed!$I$2:$I$190,(MATCH(A7,Data!$B$2:$B$22,0)-1)*9+MATCH("Children",Parsed!$C$2:$C$10,0)),0)+IF(INDEX(Parsed!$K$2:$K$190,(MATCH(B7,Data!$B$2:$B$22,0)-1)*9+MATCH("Ethicity",Parsed!$C$2:$C$10,0))=INDEX(Parsed!$H$2:$H$190,(MATCH(A7,Data!$B$2:$B$22,0)-1)*9+MATCH("Ethicity",Parsed!$C$2:$C$10,0)),INDEX(Parsed!$M$2:$M$190,(MATCH(B7,Data!$B$2:$B$22,0)-1)*9+MATCH("Ethicity",Parsed!$C$2:$C$10,0))*INDEX(Parsed!$I$2:$I$190,(MATCH(A7,Data!$B$2:$B$22,0)-1)*9+MATCH("Ethicity",Parsed!$C$2:$C$10,0)),0)+IF(INDEX(Parsed!$K$2:$K$190,(MATCH(B7,Data!$B$2:$B$22,0)-1)*9+MATCH("Past",Parsed!$C$2:$C$10,0))=INDEX(Parsed!$H$2:$H$190,(MATCH(A7,Data!$B$2:$B$22,0)-1)*9+MATCH("Past",Parsed!$C$2:$C$10,0)),INDEX(Parsed!$M$2:$M$190,(MATCH(B7,Data!$B$2:$B$22,0)-1)*9+MATCH("Past",Parsed!$C$2:$C$10,0))*INDEX(Parsed!$I$2:$I$190,(MATCH(A7,Data!$B$2:$B$22,0)-1)*9+MATCH("Past",Parsed!$C$2:$C$10,0)),0)+IF(INDEX(Parsed!$K$2:$K$190,(MATCH(B7,Data!$B$2:$B$22,0)-1)*9+MATCH("D/S",Parsed!$C$2:$C$10,0))=INDEX(Parsed!$H$2:$H$190,(MATCH(A7,Data!$B$2:$B$22,0)-1)*9+MATCH("D/S",Parsed!$C$2:$C$10,0)),INDEX(Parsed!$M$2:$M$190,(MATCH(B7,Data!$B$2:$B$22,0)-1)*9+MATCH("D/S",Parsed!$C$2:$C$10,0))*INDEX(Parsed!$I$2:$I$190,(MATCH(A7,Data!$B$2:$B$22,0)-1)*9+MATCH("D/S",Parsed!$C$2:$C$10,0)),0)+IF(INDEX(Parsed!$K$2:$K$190,(MATCH(B7,Data!$B$2:$B$22,0)-1)*9+MATCH("True/kind",Parsed!$C$2:$C$10,0))=INDEX(Parsed!$H$2:$H$190,(MATCH(A7,Data!$B$2:$B$22,0)-1)*9+MATCH("True/kind",Parsed!$C$2:$C$10,0)),INDEX(Parsed!$M$2:$M$190,(MATCH(B7,Data!$B$2:$B$22,0)-1)*9+MATCH("True/kind",Parsed!$C$2:$C$10,0))*INDEX(Parsed!$I$2:$I$190,(MATCH(A7,Data!$B$2:$B$22,0)-1)*9+MATCH("True/kind",Parsed!$C$2:$C$10,0)),0)+IF(INDEX(Parsed!$K$2:$K$190,(MATCH(B7,Data!$B$2:$B$22,0)-1)*9+MATCH("Animal",Parsed!$C$2:$C$10,0))=INDEX(Parsed!$H$2:$H$190,(MATCH(A7,Data!$B$2:$B$22,0)-1)*9+MATCH("Animal",Parsed!$C$2:$C$10,0)),INDEX(Parsed!$M$2:$M$190,(MATCH(B7,Data!$B$2:$B$22,0)-1)*9+MATCH("Animal",Parsed!$C$2:$C$10,0))*INDEX(Parsed!$I$2:$I$190,(MATCH(A7,Data!$B$2:$B$22,0)-1)*9+MATCH("Animal",Parsed!$C$2:$C$10,0)),0),0)</x:f>
        <x:v>70</x:v>
      </x:c>
      <x:c r="D7" s="11" t="n">
        <x:f>IFERROR(IF(INDEX(Parsed!$K$2:$K$190,(MATCH(A7,Data!$B$2:$B$22,0)-1)*9+MATCH("God",Parsed!$C$2:$C$10,0))=INDEX(Parsed!$H$2:$H$190,(MATCH(B7,Data!$B$2:$B$22,0)-1)*9+MATCH("God",Parsed!$C$2:$C$10,0)),INDEX(Parsed!$M$2:$M$190,(MATCH(A7,Data!$B$2:$B$22,0)-1)*9+MATCH("God",Parsed!$C$2:$C$10,0))*INDEX(Parsed!$I$2:$I$190,(MATCH(B7,Data!$B$2:$B$22,0)-1)*9+MATCH("God",Parsed!$C$2:$C$10,0)),0)+IF(INDEX(Parsed!$K$2:$K$190,(MATCH(A7,Data!$B$2:$B$22,0)-1)*9+MATCH("Politics",Parsed!$C$2:$C$10,0))=INDEX(Parsed!$H$2:$H$190,(MATCH(B7,Data!$B$2:$B$22,0)-1)*9+MATCH("Politics",Parsed!$C$2:$C$10,0)),INDEX(Parsed!$M$2:$M$190,(MATCH(A7,Data!$B$2:$B$22,0)-1)*9+MATCH("Politics",Parsed!$C$2:$C$10,0))*INDEX(Parsed!$I$2:$I$190,(MATCH(B7,Data!$B$2:$B$22,0)-1)*9+MATCH("Politics",Parsed!$C$2:$C$10,0)),0)+IF(INDEX(Parsed!$K$2:$K$190,(MATCH(A7,Data!$B$2:$B$22,0)-1)*9+MATCH("Marriage",Parsed!$C$2:$C$10,0))=INDEX(Parsed!$H$2:$H$190,(MATCH(B7,Data!$B$2:$B$22,0)-1)*9+MATCH("Marriage",Parsed!$C$2:$C$10,0)),INDEX(Parsed!$M$2:$M$190,(MATCH(A7,Data!$B$2:$B$22,0)-1)*9+MATCH("Marriage",Parsed!$C$2:$C$10,0))*INDEX(Parsed!$I$2:$I$190,(MATCH(B7,Data!$B$2:$B$22,0)-1)*9+MATCH("Marriage",Parsed!$C$2:$C$10,0)),0)+IF(INDEX(Parsed!$K$2:$K$190,(MATCH(A7,Data!$B$2:$B$22,0)-1)*9+MATCH("Children",Parsed!$C$2:$C$10,0))=INDEX(Parsed!$H$2:$H$190,(MATCH(B7,Data!$B$2:$B$22,0)-1)*9+MATCH("Children",Parsed!$C$2:$C$10,0)),INDEX(Parsed!$M$2:$M$190,(MATCH(A7,Data!$B$2:$B$22,0)-1)*9+MATCH("Children",Parsed!$C$2:$C$10,0))*INDEX(Parsed!$I$2:$I$190,(MATCH(B7,Data!$B$2:$B$22,0)-1)*9+MATCH("Children",Parsed!$C$2:$C$10,0)),0)+IF(INDEX(Parsed!$K$2:$K$190,(MATCH(A7,Data!$B$2:$B$22,0)-1)*9+MATCH("Ethicity",Parsed!$C$2:$C$10,0))=INDEX(Parsed!$H$2:$H$190,(MATCH(B7,Data!$B$2:$B$22,0)-1)*9+MATCH("Ethicity",Parsed!$C$2:$C$10,0)),INDEX(Parsed!$M$2:$M$190,(MATCH(A7,Data!$B$2:$B$22,0)-1)*9+MATCH("Ethicity",Parsed!$C$2:$C$10,0))*INDEX(Parsed!$I$2:$I$190,(MATCH(B7,Data!$B$2:$B$22,0)-1)*9+MATCH("Ethicity",Parsed!$C$2:$C$10,0)),0)+IF(INDEX(Parsed!$K$2:$K$190,(MATCH(A7,Data!$B$2:$B$22,0)-1)*9+MATCH("Past",Parsed!$C$2:$C$10,0))=INDEX(Parsed!$H$2:$H$190,(MATCH(B7,Data!$B$2:$B$22,0)-1)*9+MATCH("Past",Parsed!$C$2:$C$10,0)),INDEX(Parsed!$M$2:$M$190,(MATCH(A7,Data!$B$2:$B$22,0)-1)*9+MATCH("Past",Parsed!$C$2:$C$10,0))*INDEX(Parsed!$I$2:$I$190,(MATCH(B7,Data!$B$2:$B$22,0)-1)*9+MATCH("Past",Parsed!$C$2:$C$10,0)),0)+IF(INDEX(Parsed!$K$2:$K$190,(MATCH(A7,Data!$B$2:$B$22,0)-1)*9+MATCH("D/S",Parsed!$C$2:$C$10,0))=INDEX(Parsed!$H$2:$H$190,(MATCH(B7,Data!$B$2:$B$22,0)-1)*9+MATCH("D/S",Parsed!$C$2:$C$10,0)),INDEX(Parsed!$M$2:$M$190,(MATCH(A7,Data!$B$2:$B$22,0)-1)*9+MATCH("D/S",Parsed!$C$2:$C$10,0))*INDEX(Parsed!$I$2:$I$190,(MATCH(B7,Data!$B$2:$B$22,0)-1)*9+MATCH("D/S",Parsed!$C$2:$C$10,0)),0)+IF(INDEX(Parsed!$K$2:$K$190,(MATCH(A7,Data!$B$2:$B$22,0)-1)*9+MATCH("True/kind",Parsed!$C$2:$C$10,0))=INDEX(Parsed!$H$2:$H$190,(MATCH(B7,Data!$B$2:$B$22,0)-1)*9+MATCH("True/kind",Parsed!$C$2:$C$10,0)),INDEX(Parsed!$M$2:$M$190,(MATCH(A7,Data!$B$2:$B$22,0)-1)*9+MATCH("True/kind",Parsed!$C$2:$C$10,0))*INDEX(Parsed!$I$2:$I$190,(MATCH(B7,Data!$B$2:$B$22,0)-1)*9+MATCH("True/kind",Parsed!$C$2:$C$10,0)),0)+IF(INDEX(Parsed!$K$2:$K$190,(MATCH(A7,Data!$B$2:$B$22,0)-1)*9+MATCH("Animal",Parsed!$C$2:$C$10,0))=INDEX(Parsed!$H$2:$H$190,(MATCH(B7,Data!$B$2:$B$22,0)-1)*9+MATCH("Animal",Parsed!$C$2:$C$10,0)),INDEX(Parsed!$M$2:$M$190,(MATCH(A7,Data!$B$2:$B$22,0)-1)*9+MATCH("Animal",Parsed!$C$2:$C$10,0))*INDEX(Parsed!$I$2:$I$190,(MATCH(B7,Data!$B$2:$B$22,0)-1)*9+MATCH("Animal",Parsed!$C$2:$C$10,0)),0),0)</x:f>
        <x:v>51.25</x:v>
      </x:c>
      <x:c r="E7" s="11" t="n">
        <x:f>SQRT(C7*D7)</x:f>
        <x:v>59.8957427535547</x:v>
      </x:c>
    </x:row>
    <x:row r="8">
      <x:c r="A8" t="str">
        <x:v>joshuah</x:v>
      </x:c>
      <x:c r="B8" t="str">
        <x:v>lydia</x:v>
      </x:c>
      <x:c r="C8" s="11" t="n">
        <x:f>IFERROR(IF(INDEX(Parsed!$K$2:$K$190,(MATCH(B8,Data!$B$2:$B$22,0)-1)*9+MATCH("God",Parsed!$C$2:$C$10,0))=INDEX(Parsed!$H$2:$H$190,(MATCH(A8,Data!$B$2:$B$22,0)-1)*9+MATCH("God",Parsed!$C$2:$C$10,0)),INDEX(Parsed!$M$2:$M$190,(MATCH(B8,Data!$B$2:$B$22,0)-1)*9+MATCH("God",Parsed!$C$2:$C$10,0))*INDEX(Parsed!$I$2:$I$190,(MATCH(A8,Data!$B$2:$B$22,0)-1)*9+MATCH("God",Parsed!$C$2:$C$10,0)),0)+IF(INDEX(Parsed!$K$2:$K$190,(MATCH(B8,Data!$B$2:$B$22,0)-1)*9+MATCH("Politics",Parsed!$C$2:$C$10,0))=INDEX(Parsed!$H$2:$H$190,(MATCH(A8,Data!$B$2:$B$22,0)-1)*9+MATCH("Politics",Parsed!$C$2:$C$10,0)),INDEX(Parsed!$M$2:$M$190,(MATCH(B8,Data!$B$2:$B$22,0)-1)*9+MATCH("Politics",Parsed!$C$2:$C$10,0))*INDEX(Parsed!$I$2:$I$190,(MATCH(A8,Data!$B$2:$B$22,0)-1)*9+MATCH("Politics",Parsed!$C$2:$C$10,0)),0)+IF(INDEX(Parsed!$K$2:$K$190,(MATCH(B8,Data!$B$2:$B$22,0)-1)*9+MATCH("Marriage",Parsed!$C$2:$C$10,0))=INDEX(Parsed!$H$2:$H$190,(MATCH(A8,Data!$B$2:$B$22,0)-1)*9+MATCH("Marriage",Parsed!$C$2:$C$10,0)),INDEX(Parsed!$M$2:$M$190,(MATCH(B8,Data!$B$2:$B$22,0)-1)*9+MATCH("Marriage",Parsed!$C$2:$C$10,0))*INDEX(Parsed!$I$2:$I$190,(MATCH(A8,Data!$B$2:$B$22,0)-1)*9+MATCH("Marriage",Parsed!$C$2:$C$10,0)),0)+IF(INDEX(Parsed!$K$2:$K$190,(MATCH(B8,Data!$B$2:$B$22,0)-1)*9+MATCH("Children",Parsed!$C$2:$C$10,0))=INDEX(Parsed!$H$2:$H$190,(MATCH(A8,Data!$B$2:$B$22,0)-1)*9+MATCH("Children",Parsed!$C$2:$C$10,0)),INDEX(Parsed!$M$2:$M$190,(MATCH(B8,Data!$B$2:$B$22,0)-1)*9+MATCH("Children",Parsed!$C$2:$C$10,0))*INDEX(Parsed!$I$2:$I$190,(MATCH(A8,Data!$B$2:$B$22,0)-1)*9+MATCH("Children",Parsed!$C$2:$C$10,0)),0)+IF(INDEX(Parsed!$K$2:$K$190,(MATCH(B8,Data!$B$2:$B$22,0)-1)*9+MATCH("Ethicity",Parsed!$C$2:$C$10,0))=INDEX(Parsed!$H$2:$H$190,(MATCH(A8,Data!$B$2:$B$22,0)-1)*9+MATCH("Ethicity",Parsed!$C$2:$C$10,0)),INDEX(Parsed!$M$2:$M$190,(MATCH(B8,Data!$B$2:$B$22,0)-1)*9+MATCH("Ethicity",Parsed!$C$2:$C$10,0))*INDEX(Parsed!$I$2:$I$190,(MATCH(A8,Data!$B$2:$B$22,0)-1)*9+MATCH("Ethicity",Parsed!$C$2:$C$10,0)),0)+IF(INDEX(Parsed!$K$2:$K$190,(MATCH(B8,Data!$B$2:$B$22,0)-1)*9+MATCH("Past",Parsed!$C$2:$C$10,0))=INDEX(Parsed!$H$2:$H$190,(MATCH(A8,Data!$B$2:$B$22,0)-1)*9+MATCH("Past",Parsed!$C$2:$C$10,0)),INDEX(Parsed!$M$2:$M$190,(MATCH(B8,Data!$B$2:$B$22,0)-1)*9+MATCH("Past",Parsed!$C$2:$C$10,0))*INDEX(Parsed!$I$2:$I$190,(MATCH(A8,Data!$B$2:$B$22,0)-1)*9+MATCH("Past",Parsed!$C$2:$C$10,0)),0)+IF(INDEX(Parsed!$K$2:$K$190,(MATCH(B8,Data!$B$2:$B$22,0)-1)*9+MATCH("D/S",Parsed!$C$2:$C$10,0))=INDEX(Parsed!$H$2:$H$190,(MATCH(A8,Data!$B$2:$B$22,0)-1)*9+MATCH("D/S",Parsed!$C$2:$C$10,0)),INDEX(Parsed!$M$2:$M$190,(MATCH(B8,Data!$B$2:$B$22,0)-1)*9+MATCH("D/S",Parsed!$C$2:$C$10,0))*INDEX(Parsed!$I$2:$I$190,(MATCH(A8,Data!$B$2:$B$22,0)-1)*9+MATCH("D/S",Parsed!$C$2:$C$10,0)),0)+IF(INDEX(Parsed!$K$2:$K$190,(MATCH(B8,Data!$B$2:$B$22,0)-1)*9+MATCH("True/kind",Parsed!$C$2:$C$10,0))=INDEX(Parsed!$H$2:$H$190,(MATCH(A8,Data!$B$2:$B$22,0)-1)*9+MATCH("True/kind",Parsed!$C$2:$C$10,0)),INDEX(Parsed!$M$2:$M$190,(MATCH(B8,Data!$B$2:$B$22,0)-1)*9+MATCH("True/kind",Parsed!$C$2:$C$10,0))*INDEX(Parsed!$I$2:$I$190,(MATCH(A8,Data!$B$2:$B$22,0)-1)*9+MATCH("True/kind",Parsed!$C$2:$C$10,0)),0)+IF(INDEX(Parsed!$K$2:$K$190,(MATCH(B8,Data!$B$2:$B$22,0)-1)*9+MATCH("Animal",Parsed!$C$2:$C$10,0))=INDEX(Parsed!$H$2:$H$190,(MATCH(A8,Data!$B$2:$B$22,0)-1)*9+MATCH("Animal",Parsed!$C$2:$C$10,0)),INDEX(Parsed!$M$2:$M$190,(MATCH(B8,Data!$B$2:$B$22,0)-1)*9+MATCH("Animal",Parsed!$C$2:$C$10,0))*INDEX(Parsed!$I$2:$I$190,(MATCH(A8,Data!$B$2:$B$22,0)-1)*9+MATCH("Animal",Parsed!$C$2:$C$10,0)),0),0)</x:f>
        <x:v>45</x:v>
      </x:c>
      <x:c r="D8" s="11" t="n">
        <x:f>IFERROR(IF(INDEX(Parsed!$K$2:$K$190,(MATCH(A8,Data!$B$2:$B$22,0)-1)*9+MATCH("God",Parsed!$C$2:$C$10,0))=INDEX(Parsed!$H$2:$H$190,(MATCH(B8,Data!$B$2:$B$22,0)-1)*9+MATCH("God",Parsed!$C$2:$C$10,0)),INDEX(Parsed!$M$2:$M$190,(MATCH(A8,Data!$B$2:$B$22,0)-1)*9+MATCH("God",Parsed!$C$2:$C$10,0))*INDEX(Parsed!$I$2:$I$190,(MATCH(B8,Data!$B$2:$B$22,0)-1)*9+MATCH("God",Parsed!$C$2:$C$10,0)),0)+IF(INDEX(Parsed!$K$2:$K$190,(MATCH(A8,Data!$B$2:$B$22,0)-1)*9+MATCH("Politics",Parsed!$C$2:$C$10,0))=INDEX(Parsed!$H$2:$H$190,(MATCH(B8,Data!$B$2:$B$22,0)-1)*9+MATCH("Politics",Parsed!$C$2:$C$10,0)),INDEX(Parsed!$M$2:$M$190,(MATCH(A8,Data!$B$2:$B$22,0)-1)*9+MATCH("Politics",Parsed!$C$2:$C$10,0))*INDEX(Parsed!$I$2:$I$190,(MATCH(B8,Data!$B$2:$B$22,0)-1)*9+MATCH("Politics",Parsed!$C$2:$C$10,0)),0)+IF(INDEX(Parsed!$K$2:$K$190,(MATCH(A8,Data!$B$2:$B$22,0)-1)*9+MATCH("Marriage",Parsed!$C$2:$C$10,0))=INDEX(Parsed!$H$2:$H$190,(MATCH(B8,Data!$B$2:$B$22,0)-1)*9+MATCH("Marriage",Parsed!$C$2:$C$10,0)),INDEX(Parsed!$M$2:$M$190,(MATCH(A8,Data!$B$2:$B$22,0)-1)*9+MATCH("Marriage",Parsed!$C$2:$C$10,0))*INDEX(Parsed!$I$2:$I$190,(MATCH(B8,Data!$B$2:$B$22,0)-1)*9+MATCH("Marriage",Parsed!$C$2:$C$10,0)),0)+IF(INDEX(Parsed!$K$2:$K$190,(MATCH(A8,Data!$B$2:$B$22,0)-1)*9+MATCH("Children",Parsed!$C$2:$C$10,0))=INDEX(Parsed!$H$2:$H$190,(MATCH(B8,Data!$B$2:$B$22,0)-1)*9+MATCH("Children",Parsed!$C$2:$C$10,0)),INDEX(Parsed!$M$2:$M$190,(MATCH(A8,Data!$B$2:$B$22,0)-1)*9+MATCH("Children",Parsed!$C$2:$C$10,0))*INDEX(Parsed!$I$2:$I$190,(MATCH(B8,Data!$B$2:$B$22,0)-1)*9+MATCH("Children",Parsed!$C$2:$C$10,0)),0)+IF(INDEX(Parsed!$K$2:$K$190,(MATCH(A8,Data!$B$2:$B$22,0)-1)*9+MATCH("Ethicity",Parsed!$C$2:$C$10,0))=INDEX(Parsed!$H$2:$H$190,(MATCH(B8,Data!$B$2:$B$22,0)-1)*9+MATCH("Ethicity",Parsed!$C$2:$C$10,0)),INDEX(Parsed!$M$2:$M$190,(MATCH(A8,Data!$B$2:$B$22,0)-1)*9+MATCH("Ethicity",Parsed!$C$2:$C$10,0))*INDEX(Parsed!$I$2:$I$190,(MATCH(B8,Data!$B$2:$B$22,0)-1)*9+MATCH("Ethicity",Parsed!$C$2:$C$10,0)),0)+IF(INDEX(Parsed!$K$2:$K$190,(MATCH(A8,Data!$B$2:$B$22,0)-1)*9+MATCH("Past",Parsed!$C$2:$C$10,0))=INDEX(Parsed!$H$2:$H$190,(MATCH(B8,Data!$B$2:$B$22,0)-1)*9+MATCH("Past",Parsed!$C$2:$C$10,0)),INDEX(Parsed!$M$2:$M$190,(MATCH(A8,Data!$B$2:$B$22,0)-1)*9+MATCH("Past",Parsed!$C$2:$C$10,0))*INDEX(Parsed!$I$2:$I$190,(MATCH(B8,Data!$B$2:$B$22,0)-1)*9+MATCH("Past",Parsed!$C$2:$C$10,0)),0)+IF(INDEX(Parsed!$K$2:$K$190,(MATCH(A8,Data!$B$2:$B$22,0)-1)*9+MATCH("D/S",Parsed!$C$2:$C$10,0))=INDEX(Parsed!$H$2:$H$190,(MATCH(B8,Data!$B$2:$B$22,0)-1)*9+MATCH("D/S",Parsed!$C$2:$C$10,0)),INDEX(Parsed!$M$2:$M$190,(MATCH(A8,Data!$B$2:$B$22,0)-1)*9+MATCH("D/S",Parsed!$C$2:$C$10,0))*INDEX(Parsed!$I$2:$I$190,(MATCH(B8,Data!$B$2:$B$22,0)-1)*9+MATCH("D/S",Parsed!$C$2:$C$10,0)),0)+IF(INDEX(Parsed!$K$2:$K$190,(MATCH(A8,Data!$B$2:$B$22,0)-1)*9+MATCH("True/kind",Parsed!$C$2:$C$10,0))=INDEX(Parsed!$H$2:$H$190,(MATCH(B8,Data!$B$2:$B$22,0)-1)*9+MATCH("True/kind",Parsed!$C$2:$C$10,0)),INDEX(Parsed!$M$2:$M$190,(MATCH(A8,Data!$B$2:$B$22,0)-1)*9+MATCH("True/kind",Parsed!$C$2:$C$10,0))*INDEX(Parsed!$I$2:$I$190,(MATCH(B8,Data!$B$2:$B$22,0)-1)*9+MATCH("True/kind",Parsed!$C$2:$C$10,0)),0)+IF(INDEX(Parsed!$K$2:$K$190,(MATCH(A8,Data!$B$2:$B$22,0)-1)*9+MATCH("Animal",Parsed!$C$2:$C$10,0))=INDEX(Parsed!$H$2:$H$190,(MATCH(B8,Data!$B$2:$B$22,0)-1)*9+MATCH("Animal",Parsed!$C$2:$C$10,0)),INDEX(Parsed!$M$2:$M$190,(MATCH(A8,Data!$B$2:$B$22,0)-1)*9+MATCH("Animal",Parsed!$C$2:$C$10,0))*INDEX(Parsed!$I$2:$I$190,(MATCH(B8,Data!$B$2:$B$22,0)-1)*9+MATCH("Animal",Parsed!$C$2:$C$10,0)),0),0)</x:f>
        <x:v>57.5</x:v>
      </x:c>
      <x:c r="E8" s="11" t="n">
        <x:f>SQRT(C8*D8)</x:f>
        <x:v>50.86747487343951</x:v>
      </x:c>
    </x:row>
    <x:row r="9">
      <x:c r="A9" t="str">
        <x:v>alex</x:v>
      </x:c>
      <x:c r="B9" t="str">
        <x:v>jasmine</x:v>
      </x:c>
      <x:c r="C9" s="11" t="n">
        <x:f>IFERROR(IF(INDEX(Parsed!$K$2:$K$190,(MATCH(B9,Data!$B$2:$B$22,0)-1)*9+MATCH("God",Parsed!$C$2:$C$10,0))=INDEX(Parsed!$H$2:$H$190,(MATCH(A9,Data!$B$2:$B$22,0)-1)*9+MATCH("God",Parsed!$C$2:$C$10,0)),INDEX(Parsed!$M$2:$M$190,(MATCH(B9,Data!$B$2:$B$22,0)-1)*9+MATCH("God",Parsed!$C$2:$C$10,0))*INDEX(Parsed!$I$2:$I$190,(MATCH(A9,Data!$B$2:$B$22,0)-1)*9+MATCH("God",Parsed!$C$2:$C$10,0)),0)+IF(INDEX(Parsed!$K$2:$K$190,(MATCH(B9,Data!$B$2:$B$22,0)-1)*9+MATCH("Politics",Parsed!$C$2:$C$10,0))=INDEX(Parsed!$H$2:$H$190,(MATCH(A9,Data!$B$2:$B$22,0)-1)*9+MATCH("Politics",Parsed!$C$2:$C$10,0)),INDEX(Parsed!$M$2:$M$190,(MATCH(B9,Data!$B$2:$B$22,0)-1)*9+MATCH("Politics",Parsed!$C$2:$C$10,0))*INDEX(Parsed!$I$2:$I$190,(MATCH(A9,Data!$B$2:$B$22,0)-1)*9+MATCH("Politics",Parsed!$C$2:$C$10,0)),0)+IF(INDEX(Parsed!$K$2:$K$190,(MATCH(B9,Data!$B$2:$B$22,0)-1)*9+MATCH("Marriage",Parsed!$C$2:$C$10,0))=INDEX(Parsed!$H$2:$H$190,(MATCH(A9,Data!$B$2:$B$22,0)-1)*9+MATCH("Marriage",Parsed!$C$2:$C$10,0)),INDEX(Parsed!$M$2:$M$190,(MATCH(B9,Data!$B$2:$B$22,0)-1)*9+MATCH("Marriage",Parsed!$C$2:$C$10,0))*INDEX(Parsed!$I$2:$I$190,(MATCH(A9,Data!$B$2:$B$22,0)-1)*9+MATCH("Marriage",Parsed!$C$2:$C$10,0)),0)+IF(INDEX(Parsed!$K$2:$K$190,(MATCH(B9,Data!$B$2:$B$22,0)-1)*9+MATCH("Children",Parsed!$C$2:$C$10,0))=INDEX(Parsed!$H$2:$H$190,(MATCH(A9,Data!$B$2:$B$22,0)-1)*9+MATCH("Children",Parsed!$C$2:$C$10,0)),INDEX(Parsed!$M$2:$M$190,(MATCH(B9,Data!$B$2:$B$22,0)-1)*9+MATCH("Children",Parsed!$C$2:$C$10,0))*INDEX(Parsed!$I$2:$I$190,(MATCH(A9,Data!$B$2:$B$22,0)-1)*9+MATCH("Children",Parsed!$C$2:$C$10,0)),0)+IF(INDEX(Parsed!$K$2:$K$190,(MATCH(B9,Data!$B$2:$B$22,0)-1)*9+MATCH("Ethicity",Parsed!$C$2:$C$10,0))=INDEX(Parsed!$H$2:$H$190,(MATCH(A9,Data!$B$2:$B$22,0)-1)*9+MATCH("Ethicity",Parsed!$C$2:$C$10,0)),INDEX(Parsed!$M$2:$M$190,(MATCH(B9,Data!$B$2:$B$22,0)-1)*9+MATCH("Ethicity",Parsed!$C$2:$C$10,0))*INDEX(Parsed!$I$2:$I$190,(MATCH(A9,Data!$B$2:$B$22,0)-1)*9+MATCH("Ethicity",Parsed!$C$2:$C$10,0)),0)+IF(INDEX(Parsed!$K$2:$K$190,(MATCH(B9,Data!$B$2:$B$22,0)-1)*9+MATCH("Past",Parsed!$C$2:$C$10,0))=INDEX(Parsed!$H$2:$H$190,(MATCH(A9,Data!$B$2:$B$22,0)-1)*9+MATCH("Past",Parsed!$C$2:$C$10,0)),INDEX(Parsed!$M$2:$M$190,(MATCH(B9,Data!$B$2:$B$22,0)-1)*9+MATCH("Past",Parsed!$C$2:$C$10,0))*INDEX(Parsed!$I$2:$I$190,(MATCH(A9,Data!$B$2:$B$22,0)-1)*9+MATCH("Past",Parsed!$C$2:$C$10,0)),0)+IF(INDEX(Parsed!$K$2:$K$190,(MATCH(B9,Data!$B$2:$B$22,0)-1)*9+MATCH("D/S",Parsed!$C$2:$C$10,0))=INDEX(Parsed!$H$2:$H$190,(MATCH(A9,Data!$B$2:$B$22,0)-1)*9+MATCH("D/S",Parsed!$C$2:$C$10,0)),INDEX(Parsed!$M$2:$M$190,(MATCH(B9,Data!$B$2:$B$22,0)-1)*9+MATCH("D/S",Parsed!$C$2:$C$10,0))*INDEX(Parsed!$I$2:$I$190,(MATCH(A9,Data!$B$2:$B$22,0)-1)*9+MATCH("D/S",Parsed!$C$2:$C$10,0)),0)+IF(INDEX(Parsed!$K$2:$K$190,(MATCH(B9,Data!$B$2:$B$22,0)-1)*9+MATCH("True/kind",Parsed!$C$2:$C$10,0))=INDEX(Parsed!$H$2:$H$190,(MATCH(A9,Data!$B$2:$B$22,0)-1)*9+MATCH("True/kind",Parsed!$C$2:$C$10,0)),INDEX(Parsed!$M$2:$M$190,(MATCH(B9,Data!$B$2:$B$22,0)-1)*9+MATCH("True/kind",Parsed!$C$2:$C$10,0))*INDEX(Parsed!$I$2:$I$190,(MATCH(A9,Data!$B$2:$B$22,0)-1)*9+MATCH("True/kind",Parsed!$C$2:$C$10,0)),0)+IF(INDEX(Parsed!$K$2:$K$190,(MATCH(B9,Data!$B$2:$B$22,0)-1)*9+MATCH("Animal",Parsed!$C$2:$C$10,0))=INDEX(Parsed!$H$2:$H$190,(MATCH(A9,Data!$B$2:$B$22,0)-1)*9+MATCH("Animal",Parsed!$C$2:$C$10,0)),INDEX(Parsed!$M$2:$M$190,(MATCH(B9,Data!$B$2:$B$22,0)-1)*9+MATCH("Animal",Parsed!$C$2:$C$10,0))*INDEX(Parsed!$I$2:$I$190,(MATCH(A9,Data!$B$2:$B$22,0)-1)*9+MATCH("Animal",Parsed!$C$2:$C$10,0)),0),0)</x:f>
        <x:v>28.75</x:v>
      </x:c>
      <x:c r="D9" s="11" t="n">
        <x:f>IFERROR(IF(INDEX(Parsed!$K$2:$K$190,(MATCH(A9,Data!$B$2:$B$22,0)-1)*9+MATCH("God",Parsed!$C$2:$C$10,0))=INDEX(Parsed!$H$2:$H$190,(MATCH(B9,Data!$B$2:$B$22,0)-1)*9+MATCH("God",Parsed!$C$2:$C$10,0)),INDEX(Parsed!$M$2:$M$190,(MATCH(A9,Data!$B$2:$B$22,0)-1)*9+MATCH("God",Parsed!$C$2:$C$10,0))*INDEX(Parsed!$I$2:$I$190,(MATCH(B9,Data!$B$2:$B$22,0)-1)*9+MATCH("God",Parsed!$C$2:$C$10,0)),0)+IF(INDEX(Parsed!$K$2:$K$190,(MATCH(A9,Data!$B$2:$B$22,0)-1)*9+MATCH("Politics",Parsed!$C$2:$C$10,0))=INDEX(Parsed!$H$2:$H$190,(MATCH(B9,Data!$B$2:$B$22,0)-1)*9+MATCH("Politics",Parsed!$C$2:$C$10,0)),INDEX(Parsed!$M$2:$M$190,(MATCH(A9,Data!$B$2:$B$22,0)-1)*9+MATCH("Politics",Parsed!$C$2:$C$10,0))*INDEX(Parsed!$I$2:$I$190,(MATCH(B9,Data!$B$2:$B$22,0)-1)*9+MATCH("Politics",Parsed!$C$2:$C$10,0)),0)+IF(INDEX(Parsed!$K$2:$K$190,(MATCH(A9,Data!$B$2:$B$22,0)-1)*9+MATCH("Marriage",Parsed!$C$2:$C$10,0))=INDEX(Parsed!$H$2:$H$190,(MATCH(B9,Data!$B$2:$B$22,0)-1)*9+MATCH("Marriage",Parsed!$C$2:$C$10,0)),INDEX(Parsed!$M$2:$M$190,(MATCH(A9,Data!$B$2:$B$22,0)-1)*9+MATCH("Marriage",Parsed!$C$2:$C$10,0))*INDEX(Parsed!$I$2:$I$190,(MATCH(B9,Data!$B$2:$B$22,0)-1)*9+MATCH("Marriage",Parsed!$C$2:$C$10,0)),0)+IF(INDEX(Parsed!$K$2:$K$190,(MATCH(A9,Data!$B$2:$B$22,0)-1)*9+MATCH("Children",Parsed!$C$2:$C$10,0))=INDEX(Parsed!$H$2:$H$190,(MATCH(B9,Data!$B$2:$B$22,0)-1)*9+MATCH("Children",Parsed!$C$2:$C$10,0)),INDEX(Parsed!$M$2:$M$190,(MATCH(A9,Data!$B$2:$B$22,0)-1)*9+MATCH("Children",Parsed!$C$2:$C$10,0))*INDEX(Parsed!$I$2:$I$190,(MATCH(B9,Data!$B$2:$B$22,0)-1)*9+MATCH("Children",Parsed!$C$2:$C$10,0)),0)+IF(INDEX(Parsed!$K$2:$K$190,(MATCH(A9,Data!$B$2:$B$22,0)-1)*9+MATCH("Ethicity",Parsed!$C$2:$C$10,0))=INDEX(Parsed!$H$2:$H$190,(MATCH(B9,Data!$B$2:$B$22,0)-1)*9+MATCH("Ethicity",Parsed!$C$2:$C$10,0)),INDEX(Parsed!$M$2:$M$190,(MATCH(A9,Data!$B$2:$B$22,0)-1)*9+MATCH("Ethicity",Parsed!$C$2:$C$10,0))*INDEX(Parsed!$I$2:$I$190,(MATCH(B9,Data!$B$2:$B$22,0)-1)*9+MATCH("Ethicity",Parsed!$C$2:$C$10,0)),0)+IF(INDEX(Parsed!$K$2:$K$190,(MATCH(A9,Data!$B$2:$B$22,0)-1)*9+MATCH("Past",Parsed!$C$2:$C$10,0))=INDEX(Parsed!$H$2:$H$190,(MATCH(B9,Data!$B$2:$B$22,0)-1)*9+MATCH("Past",Parsed!$C$2:$C$10,0)),INDEX(Parsed!$M$2:$M$190,(MATCH(A9,Data!$B$2:$B$22,0)-1)*9+MATCH("Past",Parsed!$C$2:$C$10,0))*INDEX(Parsed!$I$2:$I$190,(MATCH(B9,Data!$B$2:$B$22,0)-1)*9+MATCH("Past",Parsed!$C$2:$C$10,0)),0)+IF(INDEX(Parsed!$K$2:$K$190,(MATCH(A9,Data!$B$2:$B$22,0)-1)*9+MATCH("D/S",Parsed!$C$2:$C$10,0))=INDEX(Parsed!$H$2:$H$190,(MATCH(B9,Data!$B$2:$B$22,0)-1)*9+MATCH("D/S",Parsed!$C$2:$C$10,0)),INDEX(Parsed!$M$2:$M$190,(MATCH(A9,Data!$B$2:$B$22,0)-1)*9+MATCH("D/S",Parsed!$C$2:$C$10,0))*INDEX(Parsed!$I$2:$I$190,(MATCH(B9,Data!$B$2:$B$22,0)-1)*9+MATCH("D/S",Parsed!$C$2:$C$10,0)),0)+IF(INDEX(Parsed!$K$2:$K$190,(MATCH(A9,Data!$B$2:$B$22,0)-1)*9+MATCH("True/kind",Parsed!$C$2:$C$10,0))=INDEX(Parsed!$H$2:$H$190,(MATCH(B9,Data!$B$2:$B$22,0)-1)*9+MATCH("True/kind",Parsed!$C$2:$C$10,0)),INDEX(Parsed!$M$2:$M$190,(MATCH(A9,Data!$B$2:$B$22,0)-1)*9+MATCH("True/kind",Parsed!$C$2:$C$10,0))*INDEX(Parsed!$I$2:$I$190,(MATCH(B9,Data!$B$2:$B$22,0)-1)*9+MATCH("True/kind",Parsed!$C$2:$C$10,0)),0)+IF(INDEX(Parsed!$K$2:$K$190,(MATCH(A9,Data!$B$2:$B$22,0)-1)*9+MATCH("Animal",Parsed!$C$2:$C$10,0))=INDEX(Parsed!$H$2:$H$190,(MATCH(B9,Data!$B$2:$B$22,0)-1)*9+MATCH("Animal",Parsed!$C$2:$C$10,0)),INDEX(Parsed!$M$2:$M$190,(MATCH(A9,Data!$B$2:$B$22,0)-1)*9+MATCH("Animal",Parsed!$C$2:$C$10,0))*INDEX(Parsed!$I$2:$I$190,(MATCH(B9,Data!$B$2:$B$22,0)-1)*9+MATCH("Animal",Parsed!$C$2:$C$10,0)),0),0)</x:f>
        <x:v>47.5</x:v>
      </x:c>
      <x:c r="E9" s="11" t="n">
        <x:f>SQRT(C9*D9)</x:f>
        <x:v>36.95436374773621</x:v>
      </x:c>
    </x:row>
    <x:row r="10">
      <x:c r="A10" t="str">
        <x:v>alex</x:v>
      </x:c>
      <x:c r="B10" t="str">
        <x:v>cathleen</x:v>
      </x:c>
      <x:c r="C10" s="11" t="n">
        <x:f>IFERROR(IF(INDEX(Parsed!$K$2:$K$190,(MATCH(B10,Data!$B$2:$B$22,0)-1)*9+MATCH("God",Parsed!$C$2:$C$10,0))=INDEX(Parsed!$H$2:$H$190,(MATCH(A10,Data!$B$2:$B$22,0)-1)*9+MATCH("God",Parsed!$C$2:$C$10,0)),INDEX(Parsed!$M$2:$M$190,(MATCH(B10,Data!$B$2:$B$22,0)-1)*9+MATCH("God",Parsed!$C$2:$C$10,0))*INDEX(Parsed!$I$2:$I$190,(MATCH(A10,Data!$B$2:$B$22,0)-1)*9+MATCH("God",Parsed!$C$2:$C$10,0)),0)+IF(INDEX(Parsed!$K$2:$K$190,(MATCH(B10,Data!$B$2:$B$22,0)-1)*9+MATCH("Politics",Parsed!$C$2:$C$10,0))=INDEX(Parsed!$H$2:$H$190,(MATCH(A10,Data!$B$2:$B$22,0)-1)*9+MATCH("Politics",Parsed!$C$2:$C$10,0)),INDEX(Parsed!$M$2:$M$190,(MATCH(B10,Data!$B$2:$B$22,0)-1)*9+MATCH("Politics",Parsed!$C$2:$C$10,0))*INDEX(Parsed!$I$2:$I$190,(MATCH(A10,Data!$B$2:$B$22,0)-1)*9+MATCH("Politics",Parsed!$C$2:$C$10,0)),0)+IF(INDEX(Parsed!$K$2:$K$190,(MATCH(B10,Data!$B$2:$B$22,0)-1)*9+MATCH("Marriage",Parsed!$C$2:$C$10,0))=INDEX(Parsed!$H$2:$H$190,(MATCH(A10,Data!$B$2:$B$22,0)-1)*9+MATCH("Marriage",Parsed!$C$2:$C$10,0)),INDEX(Parsed!$M$2:$M$190,(MATCH(B10,Data!$B$2:$B$22,0)-1)*9+MATCH("Marriage",Parsed!$C$2:$C$10,0))*INDEX(Parsed!$I$2:$I$190,(MATCH(A10,Data!$B$2:$B$22,0)-1)*9+MATCH("Marriage",Parsed!$C$2:$C$10,0)),0)+IF(INDEX(Parsed!$K$2:$K$190,(MATCH(B10,Data!$B$2:$B$22,0)-1)*9+MATCH("Children",Parsed!$C$2:$C$10,0))=INDEX(Parsed!$H$2:$H$190,(MATCH(A10,Data!$B$2:$B$22,0)-1)*9+MATCH("Children",Parsed!$C$2:$C$10,0)),INDEX(Parsed!$M$2:$M$190,(MATCH(B10,Data!$B$2:$B$22,0)-1)*9+MATCH("Children",Parsed!$C$2:$C$10,0))*INDEX(Parsed!$I$2:$I$190,(MATCH(A10,Data!$B$2:$B$22,0)-1)*9+MATCH("Children",Parsed!$C$2:$C$10,0)),0)+IF(INDEX(Parsed!$K$2:$K$190,(MATCH(B10,Data!$B$2:$B$22,0)-1)*9+MATCH("Ethicity",Parsed!$C$2:$C$10,0))=INDEX(Parsed!$H$2:$H$190,(MATCH(A10,Data!$B$2:$B$22,0)-1)*9+MATCH("Ethicity",Parsed!$C$2:$C$10,0)),INDEX(Parsed!$M$2:$M$190,(MATCH(B10,Data!$B$2:$B$22,0)-1)*9+MATCH("Ethicity",Parsed!$C$2:$C$10,0))*INDEX(Parsed!$I$2:$I$190,(MATCH(A10,Data!$B$2:$B$22,0)-1)*9+MATCH("Ethicity",Parsed!$C$2:$C$10,0)),0)+IF(INDEX(Parsed!$K$2:$K$190,(MATCH(B10,Data!$B$2:$B$22,0)-1)*9+MATCH("Past",Parsed!$C$2:$C$10,0))=INDEX(Parsed!$H$2:$H$190,(MATCH(A10,Data!$B$2:$B$22,0)-1)*9+MATCH("Past",Parsed!$C$2:$C$10,0)),INDEX(Parsed!$M$2:$M$190,(MATCH(B10,Data!$B$2:$B$22,0)-1)*9+MATCH("Past",Parsed!$C$2:$C$10,0))*INDEX(Parsed!$I$2:$I$190,(MATCH(A10,Data!$B$2:$B$22,0)-1)*9+MATCH("Past",Parsed!$C$2:$C$10,0)),0)+IF(INDEX(Parsed!$K$2:$K$190,(MATCH(B10,Data!$B$2:$B$22,0)-1)*9+MATCH("D/S",Parsed!$C$2:$C$10,0))=INDEX(Parsed!$H$2:$H$190,(MATCH(A10,Data!$B$2:$B$22,0)-1)*9+MATCH("D/S",Parsed!$C$2:$C$10,0)),INDEX(Parsed!$M$2:$M$190,(MATCH(B10,Data!$B$2:$B$22,0)-1)*9+MATCH("D/S",Parsed!$C$2:$C$10,0))*INDEX(Parsed!$I$2:$I$190,(MATCH(A10,Data!$B$2:$B$22,0)-1)*9+MATCH("D/S",Parsed!$C$2:$C$10,0)),0)+IF(INDEX(Parsed!$K$2:$K$190,(MATCH(B10,Data!$B$2:$B$22,0)-1)*9+MATCH("True/kind",Parsed!$C$2:$C$10,0))=INDEX(Parsed!$H$2:$H$190,(MATCH(A10,Data!$B$2:$B$22,0)-1)*9+MATCH("True/kind",Parsed!$C$2:$C$10,0)),INDEX(Parsed!$M$2:$M$190,(MATCH(B10,Data!$B$2:$B$22,0)-1)*9+MATCH("True/kind",Parsed!$C$2:$C$10,0))*INDEX(Parsed!$I$2:$I$190,(MATCH(A10,Data!$B$2:$B$22,0)-1)*9+MATCH("True/kind",Parsed!$C$2:$C$10,0)),0)+IF(INDEX(Parsed!$K$2:$K$190,(MATCH(B10,Data!$B$2:$B$22,0)-1)*9+MATCH("Animal",Parsed!$C$2:$C$10,0))=INDEX(Parsed!$H$2:$H$190,(MATCH(A10,Data!$B$2:$B$22,0)-1)*9+MATCH("Animal",Parsed!$C$2:$C$10,0)),INDEX(Parsed!$M$2:$M$190,(MATCH(B10,Data!$B$2:$B$22,0)-1)*9+MATCH("Animal",Parsed!$C$2:$C$10,0))*INDEX(Parsed!$I$2:$I$190,(MATCH(A10,Data!$B$2:$B$22,0)-1)*9+MATCH("Animal",Parsed!$C$2:$C$10,0)),0),0)</x:f>
        <x:v>48.75</x:v>
      </x:c>
      <x:c r="D10" s="11" t="n">
        <x:f>IFERROR(IF(INDEX(Parsed!$K$2:$K$190,(MATCH(A10,Data!$B$2:$B$22,0)-1)*9+MATCH("God",Parsed!$C$2:$C$10,0))=INDEX(Parsed!$H$2:$H$190,(MATCH(B10,Data!$B$2:$B$22,0)-1)*9+MATCH("God",Parsed!$C$2:$C$10,0)),INDEX(Parsed!$M$2:$M$190,(MATCH(A10,Data!$B$2:$B$22,0)-1)*9+MATCH("God",Parsed!$C$2:$C$10,0))*INDEX(Parsed!$I$2:$I$190,(MATCH(B10,Data!$B$2:$B$22,0)-1)*9+MATCH("God",Parsed!$C$2:$C$10,0)),0)+IF(INDEX(Parsed!$K$2:$K$190,(MATCH(A10,Data!$B$2:$B$22,0)-1)*9+MATCH("Politics",Parsed!$C$2:$C$10,0))=INDEX(Parsed!$H$2:$H$190,(MATCH(B10,Data!$B$2:$B$22,0)-1)*9+MATCH("Politics",Parsed!$C$2:$C$10,0)),INDEX(Parsed!$M$2:$M$190,(MATCH(A10,Data!$B$2:$B$22,0)-1)*9+MATCH("Politics",Parsed!$C$2:$C$10,0))*INDEX(Parsed!$I$2:$I$190,(MATCH(B10,Data!$B$2:$B$22,0)-1)*9+MATCH("Politics",Parsed!$C$2:$C$10,0)),0)+IF(INDEX(Parsed!$K$2:$K$190,(MATCH(A10,Data!$B$2:$B$22,0)-1)*9+MATCH("Marriage",Parsed!$C$2:$C$10,0))=INDEX(Parsed!$H$2:$H$190,(MATCH(B10,Data!$B$2:$B$22,0)-1)*9+MATCH("Marriage",Parsed!$C$2:$C$10,0)),INDEX(Parsed!$M$2:$M$190,(MATCH(A10,Data!$B$2:$B$22,0)-1)*9+MATCH("Marriage",Parsed!$C$2:$C$10,0))*INDEX(Parsed!$I$2:$I$190,(MATCH(B10,Data!$B$2:$B$22,0)-1)*9+MATCH("Marriage",Parsed!$C$2:$C$10,0)),0)+IF(INDEX(Parsed!$K$2:$K$190,(MATCH(A10,Data!$B$2:$B$22,0)-1)*9+MATCH("Children",Parsed!$C$2:$C$10,0))=INDEX(Parsed!$H$2:$H$190,(MATCH(B10,Data!$B$2:$B$22,0)-1)*9+MATCH("Children",Parsed!$C$2:$C$10,0)),INDEX(Parsed!$M$2:$M$190,(MATCH(A10,Data!$B$2:$B$22,0)-1)*9+MATCH("Children",Parsed!$C$2:$C$10,0))*INDEX(Parsed!$I$2:$I$190,(MATCH(B10,Data!$B$2:$B$22,0)-1)*9+MATCH("Children",Parsed!$C$2:$C$10,0)),0)+IF(INDEX(Parsed!$K$2:$K$190,(MATCH(A10,Data!$B$2:$B$22,0)-1)*9+MATCH("Ethicity",Parsed!$C$2:$C$10,0))=INDEX(Parsed!$H$2:$H$190,(MATCH(B10,Data!$B$2:$B$22,0)-1)*9+MATCH("Ethicity",Parsed!$C$2:$C$10,0)),INDEX(Parsed!$M$2:$M$190,(MATCH(A10,Data!$B$2:$B$22,0)-1)*9+MATCH("Ethicity",Parsed!$C$2:$C$10,0))*INDEX(Parsed!$I$2:$I$190,(MATCH(B10,Data!$B$2:$B$22,0)-1)*9+MATCH("Ethicity",Parsed!$C$2:$C$10,0)),0)+IF(INDEX(Parsed!$K$2:$K$190,(MATCH(A10,Data!$B$2:$B$22,0)-1)*9+MATCH("Past",Parsed!$C$2:$C$10,0))=INDEX(Parsed!$H$2:$H$190,(MATCH(B10,Data!$B$2:$B$22,0)-1)*9+MATCH("Past",Parsed!$C$2:$C$10,0)),INDEX(Parsed!$M$2:$M$190,(MATCH(A10,Data!$B$2:$B$22,0)-1)*9+MATCH("Past",Parsed!$C$2:$C$10,0))*INDEX(Parsed!$I$2:$I$190,(MATCH(B10,Data!$B$2:$B$22,0)-1)*9+MATCH("Past",Parsed!$C$2:$C$10,0)),0)+IF(INDEX(Parsed!$K$2:$K$190,(MATCH(A10,Data!$B$2:$B$22,0)-1)*9+MATCH("D/S",Parsed!$C$2:$C$10,0))=INDEX(Parsed!$H$2:$H$190,(MATCH(B10,Data!$B$2:$B$22,0)-1)*9+MATCH("D/S",Parsed!$C$2:$C$10,0)),INDEX(Parsed!$M$2:$M$190,(MATCH(A10,Data!$B$2:$B$22,0)-1)*9+MATCH("D/S",Parsed!$C$2:$C$10,0))*INDEX(Parsed!$I$2:$I$190,(MATCH(B10,Data!$B$2:$B$22,0)-1)*9+MATCH("D/S",Parsed!$C$2:$C$10,0)),0)+IF(INDEX(Parsed!$K$2:$K$190,(MATCH(A10,Data!$B$2:$B$22,0)-1)*9+MATCH("True/kind",Parsed!$C$2:$C$10,0))=INDEX(Parsed!$H$2:$H$190,(MATCH(B10,Data!$B$2:$B$22,0)-1)*9+MATCH("True/kind",Parsed!$C$2:$C$10,0)),INDEX(Parsed!$M$2:$M$190,(MATCH(A10,Data!$B$2:$B$22,0)-1)*9+MATCH("True/kind",Parsed!$C$2:$C$10,0))*INDEX(Parsed!$I$2:$I$190,(MATCH(B10,Data!$B$2:$B$22,0)-1)*9+MATCH("True/kind",Parsed!$C$2:$C$10,0)),0)+IF(INDEX(Parsed!$K$2:$K$190,(MATCH(A10,Data!$B$2:$B$22,0)-1)*9+MATCH("Animal",Parsed!$C$2:$C$10,0))=INDEX(Parsed!$H$2:$H$190,(MATCH(B10,Data!$B$2:$B$22,0)-1)*9+MATCH("Animal",Parsed!$C$2:$C$10,0)),INDEX(Parsed!$M$2:$M$190,(MATCH(A10,Data!$B$2:$B$22,0)-1)*9+MATCH("Animal",Parsed!$C$2:$C$10,0))*INDEX(Parsed!$I$2:$I$190,(MATCH(B10,Data!$B$2:$B$22,0)-1)*9+MATCH("Animal",Parsed!$C$2:$C$10,0)),0),0)</x:f>
        <x:v>58.75</x:v>
      </x:c>
      <x:c r="E10" s="11" t="n">
        <x:f>SQRT(C10*D10)</x:f>
        <x:v>53.51693657151911</x:v>
      </x:c>
    </x:row>
    <x:row r="11">
      <x:c r="A11" t="str">
        <x:v>alex</x:v>
      </x:c>
      <x:c r="B11" t="str">
        <x:v>edith</x:v>
      </x:c>
      <x:c r="C11" s="11" t="n">
        <x:f>IFERROR(IF(INDEX(Parsed!$K$2:$K$190,(MATCH(B11,Data!$B$2:$B$22,0)-1)*9+MATCH("God",Parsed!$C$2:$C$10,0))=INDEX(Parsed!$H$2:$H$190,(MATCH(A11,Data!$B$2:$B$22,0)-1)*9+MATCH("God",Parsed!$C$2:$C$10,0)),INDEX(Parsed!$M$2:$M$190,(MATCH(B11,Data!$B$2:$B$22,0)-1)*9+MATCH("God",Parsed!$C$2:$C$10,0))*INDEX(Parsed!$I$2:$I$190,(MATCH(A11,Data!$B$2:$B$22,0)-1)*9+MATCH("God",Parsed!$C$2:$C$10,0)),0)+IF(INDEX(Parsed!$K$2:$K$190,(MATCH(B11,Data!$B$2:$B$22,0)-1)*9+MATCH("Politics",Parsed!$C$2:$C$10,0))=INDEX(Parsed!$H$2:$H$190,(MATCH(A11,Data!$B$2:$B$22,0)-1)*9+MATCH("Politics",Parsed!$C$2:$C$10,0)),INDEX(Parsed!$M$2:$M$190,(MATCH(B11,Data!$B$2:$B$22,0)-1)*9+MATCH("Politics",Parsed!$C$2:$C$10,0))*INDEX(Parsed!$I$2:$I$190,(MATCH(A11,Data!$B$2:$B$22,0)-1)*9+MATCH("Politics",Parsed!$C$2:$C$10,0)),0)+IF(INDEX(Parsed!$K$2:$K$190,(MATCH(B11,Data!$B$2:$B$22,0)-1)*9+MATCH("Marriage",Parsed!$C$2:$C$10,0))=INDEX(Parsed!$H$2:$H$190,(MATCH(A11,Data!$B$2:$B$22,0)-1)*9+MATCH("Marriage",Parsed!$C$2:$C$10,0)),INDEX(Parsed!$M$2:$M$190,(MATCH(B11,Data!$B$2:$B$22,0)-1)*9+MATCH("Marriage",Parsed!$C$2:$C$10,0))*INDEX(Parsed!$I$2:$I$190,(MATCH(A11,Data!$B$2:$B$22,0)-1)*9+MATCH("Marriage",Parsed!$C$2:$C$10,0)),0)+IF(INDEX(Parsed!$K$2:$K$190,(MATCH(B11,Data!$B$2:$B$22,0)-1)*9+MATCH("Children",Parsed!$C$2:$C$10,0))=INDEX(Parsed!$H$2:$H$190,(MATCH(A11,Data!$B$2:$B$22,0)-1)*9+MATCH("Children",Parsed!$C$2:$C$10,0)),INDEX(Parsed!$M$2:$M$190,(MATCH(B11,Data!$B$2:$B$22,0)-1)*9+MATCH("Children",Parsed!$C$2:$C$10,0))*INDEX(Parsed!$I$2:$I$190,(MATCH(A11,Data!$B$2:$B$22,0)-1)*9+MATCH("Children",Parsed!$C$2:$C$10,0)),0)+IF(INDEX(Parsed!$K$2:$K$190,(MATCH(B11,Data!$B$2:$B$22,0)-1)*9+MATCH("Ethicity",Parsed!$C$2:$C$10,0))=INDEX(Parsed!$H$2:$H$190,(MATCH(A11,Data!$B$2:$B$22,0)-1)*9+MATCH("Ethicity",Parsed!$C$2:$C$10,0)),INDEX(Parsed!$M$2:$M$190,(MATCH(B11,Data!$B$2:$B$22,0)-1)*9+MATCH("Ethicity",Parsed!$C$2:$C$10,0))*INDEX(Parsed!$I$2:$I$190,(MATCH(A11,Data!$B$2:$B$22,0)-1)*9+MATCH("Ethicity",Parsed!$C$2:$C$10,0)),0)+IF(INDEX(Parsed!$K$2:$K$190,(MATCH(B11,Data!$B$2:$B$22,0)-1)*9+MATCH("Past",Parsed!$C$2:$C$10,0))=INDEX(Parsed!$H$2:$H$190,(MATCH(A11,Data!$B$2:$B$22,0)-1)*9+MATCH("Past",Parsed!$C$2:$C$10,0)),INDEX(Parsed!$M$2:$M$190,(MATCH(B11,Data!$B$2:$B$22,0)-1)*9+MATCH("Past",Parsed!$C$2:$C$10,0))*INDEX(Parsed!$I$2:$I$190,(MATCH(A11,Data!$B$2:$B$22,0)-1)*9+MATCH("Past",Parsed!$C$2:$C$10,0)),0)+IF(INDEX(Parsed!$K$2:$K$190,(MATCH(B11,Data!$B$2:$B$22,0)-1)*9+MATCH("D/S",Parsed!$C$2:$C$10,0))=INDEX(Parsed!$H$2:$H$190,(MATCH(A11,Data!$B$2:$B$22,0)-1)*9+MATCH("D/S",Parsed!$C$2:$C$10,0)),INDEX(Parsed!$M$2:$M$190,(MATCH(B11,Data!$B$2:$B$22,0)-1)*9+MATCH("D/S",Parsed!$C$2:$C$10,0))*INDEX(Parsed!$I$2:$I$190,(MATCH(A11,Data!$B$2:$B$22,0)-1)*9+MATCH("D/S",Parsed!$C$2:$C$10,0)),0)+IF(INDEX(Parsed!$K$2:$K$190,(MATCH(B11,Data!$B$2:$B$22,0)-1)*9+MATCH("True/kind",Parsed!$C$2:$C$10,0))=INDEX(Parsed!$H$2:$H$190,(MATCH(A11,Data!$B$2:$B$22,0)-1)*9+MATCH("True/kind",Parsed!$C$2:$C$10,0)),INDEX(Parsed!$M$2:$M$190,(MATCH(B11,Data!$B$2:$B$22,0)-1)*9+MATCH("True/kind",Parsed!$C$2:$C$10,0))*INDEX(Parsed!$I$2:$I$190,(MATCH(A11,Data!$B$2:$B$22,0)-1)*9+MATCH("True/kind",Parsed!$C$2:$C$10,0)),0)+IF(INDEX(Parsed!$K$2:$K$190,(MATCH(B11,Data!$B$2:$B$22,0)-1)*9+MATCH("Animal",Parsed!$C$2:$C$10,0))=INDEX(Parsed!$H$2:$H$190,(MATCH(A11,Data!$B$2:$B$22,0)-1)*9+MATCH("Animal",Parsed!$C$2:$C$10,0)),INDEX(Parsed!$M$2:$M$190,(MATCH(B11,Data!$B$2:$B$22,0)-1)*9+MATCH("Animal",Parsed!$C$2:$C$10,0))*INDEX(Parsed!$I$2:$I$190,(MATCH(A11,Data!$B$2:$B$22,0)-1)*9+MATCH("Animal",Parsed!$C$2:$C$10,0)),0),0)</x:f>
        <x:v>77.5</x:v>
      </x:c>
      <x:c r="D11" s="11" t="n">
        <x:f>IFERROR(IF(INDEX(Parsed!$K$2:$K$190,(MATCH(A11,Data!$B$2:$B$22,0)-1)*9+MATCH("God",Parsed!$C$2:$C$10,0))=INDEX(Parsed!$H$2:$H$190,(MATCH(B11,Data!$B$2:$B$22,0)-1)*9+MATCH("God",Parsed!$C$2:$C$10,0)),INDEX(Parsed!$M$2:$M$190,(MATCH(A11,Data!$B$2:$B$22,0)-1)*9+MATCH("God",Parsed!$C$2:$C$10,0))*INDEX(Parsed!$I$2:$I$190,(MATCH(B11,Data!$B$2:$B$22,0)-1)*9+MATCH("God",Parsed!$C$2:$C$10,0)),0)+IF(INDEX(Parsed!$K$2:$K$190,(MATCH(A11,Data!$B$2:$B$22,0)-1)*9+MATCH("Politics",Parsed!$C$2:$C$10,0))=INDEX(Parsed!$H$2:$H$190,(MATCH(B11,Data!$B$2:$B$22,0)-1)*9+MATCH("Politics",Parsed!$C$2:$C$10,0)),INDEX(Parsed!$M$2:$M$190,(MATCH(A11,Data!$B$2:$B$22,0)-1)*9+MATCH("Politics",Parsed!$C$2:$C$10,0))*INDEX(Parsed!$I$2:$I$190,(MATCH(B11,Data!$B$2:$B$22,0)-1)*9+MATCH("Politics",Parsed!$C$2:$C$10,0)),0)+IF(INDEX(Parsed!$K$2:$K$190,(MATCH(A11,Data!$B$2:$B$22,0)-1)*9+MATCH("Marriage",Parsed!$C$2:$C$10,0))=INDEX(Parsed!$H$2:$H$190,(MATCH(B11,Data!$B$2:$B$22,0)-1)*9+MATCH("Marriage",Parsed!$C$2:$C$10,0)),INDEX(Parsed!$M$2:$M$190,(MATCH(A11,Data!$B$2:$B$22,0)-1)*9+MATCH("Marriage",Parsed!$C$2:$C$10,0))*INDEX(Parsed!$I$2:$I$190,(MATCH(B11,Data!$B$2:$B$22,0)-1)*9+MATCH("Marriage",Parsed!$C$2:$C$10,0)),0)+IF(INDEX(Parsed!$K$2:$K$190,(MATCH(A11,Data!$B$2:$B$22,0)-1)*9+MATCH("Children",Parsed!$C$2:$C$10,0))=INDEX(Parsed!$H$2:$H$190,(MATCH(B11,Data!$B$2:$B$22,0)-1)*9+MATCH("Children",Parsed!$C$2:$C$10,0)),INDEX(Parsed!$M$2:$M$190,(MATCH(A11,Data!$B$2:$B$22,0)-1)*9+MATCH("Children",Parsed!$C$2:$C$10,0))*INDEX(Parsed!$I$2:$I$190,(MATCH(B11,Data!$B$2:$B$22,0)-1)*9+MATCH("Children",Parsed!$C$2:$C$10,0)),0)+IF(INDEX(Parsed!$K$2:$K$190,(MATCH(A11,Data!$B$2:$B$22,0)-1)*9+MATCH("Ethicity",Parsed!$C$2:$C$10,0))=INDEX(Parsed!$H$2:$H$190,(MATCH(B11,Data!$B$2:$B$22,0)-1)*9+MATCH("Ethicity",Parsed!$C$2:$C$10,0)),INDEX(Parsed!$M$2:$M$190,(MATCH(A11,Data!$B$2:$B$22,0)-1)*9+MATCH("Ethicity",Parsed!$C$2:$C$10,0))*INDEX(Parsed!$I$2:$I$190,(MATCH(B11,Data!$B$2:$B$22,0)-1)*9+MATCH("Ethicity",Parsed!$C$2:$C$10,0)),0)+IF(INDEX(Parsed!$K$2:$K$190,(MATCH(A11,Data!$B$2:$B$22,0)-1)*9+MATCH("Past",Parsed!$C$2:$C$10,0))=INDEX(Parsed!$H$2:$H$190,(MATCH(B11,Data!$B$2:$B$22,0)-1)*9+MATCH("Past",Parsed!$C$2:$C$10,0)),INDEX(Parsed!$M$2:$M$190,(MATCH(A11,Data!$B$2:$B$22,0)-1)*9+MATCH("Past",Parsed!$C$2:$C$10,0))*INDEX(Parsed!$I$2:$I$190,(MATCH(B11,Data!$B$2:$B$22,0)-1)*9+MATCH("Past",Parsed!$C$2:$C$10,0)),0)+IF(INDEX(Parsed!$K$2:$K$190,(MATCH(A11,Data!$B$2:$B$22,0)-1)*9+MATCH("D/S",Parsed!$C$2:$C$10,0))=INDEX(Parsed!$H$2:$H$190,(MATCH(B11,Data!$B$2:$B$22,0)-1)*9+MATCH("D/S",Parsed!$C$2:$C$10,0)),INDEX(Parsed!$M$2:$M$190,(MATCH(A11,Data!$B$2:$B$22,0)-1)*9+MATCH("D/S",Parsed!$C$2:$C$10,0))*INDEX(Parsed!$I$2:$I$190,(MATCH(B11,Data!$B$2:$B$22,0)-1)*9+MATCH("D/S",Parsed!$C$2:$C$10,0)),0)+IF(INDEX(Parsed!$K$2:$K$190,(MATCH(A11,Data!$B$2:$B$22,0)-1)*9+MATCH("True/kind",Parsed!$C$2:$C$10,0))=INDEX(Parsed!$H$2:$H$190,(MATCH(B11,Data!$B$2:$B$22,0)-1)*9+MATCH("True/kind",Parsed!$C$2:$C$10,0)),INDEX(Parsed!$M$2:$M$190,(MATCH(A11,Data!$B$2:$B$22,0)-1)*9+MATCH("True/kind",Parsed!$C$2:$C$10,0))*INDEX(Parsed!$I$2:$I$190,(MATCH(B11,Data!$B$2:$B$22,0)-1)*9+MATCH("True/kind",Parsed!$C$2:$C$10,0)),0)+IF(INDEX(Parsed!$K$2:$K$190,(MATCH(A11,Data!$B$2:$B$22,0)-1)*9+MATCH("Animal",Parsed!$C$2:$C$10,0))=INDEX(Parsed!$H$2:$H$190,(MATCH(B11,Data!$B$2:$B$22,0)-1)*9+MATCH("Animal",Parsed!$C$2:$C$10,0)),INDEX(Parsed!$M$2:$M$190,(MATCH(A11,Data!$B$2:$B$22,0)-1)*9+MATCH("Animal",Parsed!$C$2:$C$10,0))*INDEX(Parsed!$I$2:$I$190,(MATCH(B11,Data!$B$2:$B$22,0)-1)*9+MATCH("Animal",Parsed!$C$2:$C$10,0)),0),0)</x:f>
        <x:v>70</x:v>
      </x:c>
      <x:c r="E11" s="11" t="n">
        <x:f>SQRT(C11*D11)</x:f>
        <x:v>73.65459931328118</x:v>
      </x:c>
    </x:row>
    <x:row r="12">
      <x:c r="A12" t="str">
        <x:v>alex</x:v>
      </x:c>
      <x:c r="B12" t="str">
        <x:v>sophiah</x:v>
      </x:c>
      <x:c r="C12" s="11" t="n">
        <x:f>IFERROR(IF(INDEX(Parsed!$K$2:$K$190,(MATCH(B12,Data!$B$2:$B$22,0)-1)*9+MATCH("God",Parsed!$C$2:$C$10,0))=INDEX(Parsed!$H$2:$H$190,(MATCH(A12,Data!$B$2:$B$22,0)-1)*9+MATCH("God",Parsed!$C$2:$C$10,0)),INDEX(Parsed!$M$2:$M$190,(MATCH(B12,Data!$B$2:$B$22,0)-1)*9+MATCH("God",Parsed!$C$2:$C$10,0))*INDEX(Parsed!$I$2:$I$190,(MATCH(A12,Data!$B$2:$B$22,0)-1)*9+MATCH("God",Parsed!$C$2:$C$10,0)),0)+IF(INDEX(Parsed!$K$2:$K$190,(MATCH(B12,Data!$B$2:$B$22,0)-1)*9+MATCH("Politics",Parsed!$C$2:$C$10,0))=INDEX(Parsed!$H$2:$H$190,(MATCH(A12,Data!$B$2:$B$22,0)-1)*9+MATCH("Politics",Parsed!$C$2:$C$10,0)),INDEX(Parsed!$M$2:$M$190,(MATCH(B12,Data!$B$2:$B$22,0)-1)*9+MATCH("Politics",Parsed!$C$2:$C$10,0))*INDEX(Parsed!$I$2:$I$190,(MATCH(A12,Data!$B$2:$B$22,0)-1)*9+MATCH("Politics",Parsed!$C$2:$C$10,0)),0)+IF(INDEX(Parsed!$K$2:$K$190,(MATCH(B12,Data!$B$2:$B$22,0)-1)*9+MATCH("Marriage",Parsed!$C$2:$C$10,0))=INDEX(Parsed!$H$2:$H$190,(MATCH(A12,Data!$B$2:$B$22,0)-1)*9+MATCH("Marriage",Parsed!$C$2:$C$10,0)),INDEX(Parsed!$M$2:$M$190,(MATCH(B12,Data!$B$2:$B$22,0)-1)*9+MATCH("Marriage",Parsed!$C$2:$C$10,0))*INDEX(Parsed!$I$2:$I$190,(MATCH(A12,Data!$B$2:$B$22,0)-1)*9+MATCH("Marriage",Parsed!$C$2:$C$10,0)),0)+IF(INDEX(Parsed!$K$2:$K$190,(MATCH(B12,Data!$B$2:$B$22,0)-1)*9+MATCH("Children",Parsed!$C$2:$C$10,0))=INDEX(Parsed!$H$2:$H$190,(MATCH(A12,Data!$B$2:$B$22,0)-1)*9+MATCH("Children",Parsed!$C$2:$C$10,0)),INDEX(Parsed!$M$2:$M$190,(MATCH(B12,Data!$B$2:$B$22,0)-1)*9+MATCH("Children",Parsed!$C$2:$C$10,0))*INDEX(Parsed!$I$2:$I$190,(MATCH(A12,Data!$B$2:$B$22,0)-1)*9+MATCH("Children",Parsed!$C$2:$C$10,0)),0)+IF(INDEX(Parsed!$K$2:$K$190,(MATCH(B12,Data!$B$2:$B$22,0)-1)*9+MATCH("Ethicity",Parsed!$C$2:$C$10,0))=INDEX(Parsed!$H$2:$H$190,(MATCH(A12,Data!$B$2:$B$22,0)-1)*9+MATCH("Ethicity",Parsed!$C$2:$C$10,0)),INDEX(Parsed!$M$2:$M$190,(MATCH(B12,Data!$B$2:$B$22,0)-1)*9+MATCH("Ethicity",Parsed!$C$2:$C$10,0))*INDEX(Parsed!$I$2:$I$190,(MATCH(A12,Data!$B$2:$B$22,0)-1)*9+MATCH("Ethicity",Parsed!$C$2:$C$10,0)),0)+IF(INDEX(Parsed!$K$2:$K$190,(MATCH(B12,Data!$B$2:$B$22,0)-1)*9+MATCH("Past",Parsed!$C$2:$C$10,0))=INDEX(Parsed!$H$2:$H$190,(MATCH(A12,Data!$B$2:$B$22,0)-1)*9+MATCH("Past",Parsed!$C$2:$C$10,0)),INDEX(Parsed!$M$2:$M$190,(MATCH(B12,Data!$B$2:$B$22,0)-1)*9+MATCH("Past",Parsed!$C$2:$C$10,0))*INDEX(Parsed!$I$2:$I$190,(MATCH(A12,Data!$B$2:$B$22,0)-1)*9+MATCH("Past",Parsed!$C$2:$C$10,0)),0)+IF(INDEX(Parsed!$K$2:$K$190,(MATCH(B12,Data!$B$2:$B$22,0)-1)*9+MATCH("D/S",Parsed!$C$2:$C$10,0))=INDEX(Parsed!$H$2:$H$190,(MATCH(A12,Data!$B$2:$B$22,0)-1)*9+MATCH("D/S",Parsed!$C$2:$C$10,0)),INDEX(Parsed!$M$2:$M$190,(MATCH(B12,Data!$B$2:$B$22,0)-1)*9+MATCH("D/S",Parsed!$C$2:$C$10,0))*INDEX(Parsed!$I$2:$I$190,(MATCH(A12,Data!$B$2:$B$22,0)-1)*9+MATCH("D/S",Parsed!$C$2:$C$10,0)),0)+IF(INDEX(Parsed!$K$2:$K$190,(MATCH(B12,Data!$B$2:$B$22,0)-1)*9+MATCH("True/kind",Parsed!$C$2:$C$10,0))=INDEX(Parsed!$H$2:$H$190,(MATCH(A12,Data!$B$2:$B$22,0)-1)*9+MATCH("True/kind",Parsed!$C$2:$C$10,0)),INDEX(Parsed!$M$2:$M$190,(MATCH(B12,Data!$B$2:$B$22,0)-1)*9+MATCH("True/kind",Parsed!$C$2:$C$10,0))*INDEX(Parsed!$I$2:$I$190,(MATCH(A12,Data!$B$2:$B$22,0)-1)*9+MATCH("True/kind",Parsed!$C$2:$C$10,0)),0)+IF(INDEX(Parsed!$K$2:$K$190,(MATCH(B12,Data!$B$2:$B$22,0)-1)*9+MATCH("Animal",Parsed!$C$2:$C$10,0))=INDEX(Parsed!$H$2:$H$190,(MATCH(A12,Data!$B$2:$B$22,0)-1)*9+MATCH("Animal",Parsed!$C$2:$C$10,0)),INDEX(Parsed!$M$2:$M$190,(MATCH(B12,Data!$B$2:$B$22,0)-1)*9+MATCH("Animal",Parsed!$C$2:$C$10,0))*INDEX(Parsed!$I$2:$I$190,(MATCH(A12,Data!$B$2:$B$22,0)-1)*9+MATCH("Animal",Parsed!$C$2:$C$10,0)),0),0)</x:f>
        <x:v>35</x:v>
      </x:c>
      <x:c r="D12" s="11" t="n">
        <x:f>IFERROR(IF(INDEX(Parsed!$K$2:$K$190,(MATCH(A12,Data!$B$2:$B$22,0)-1)*9+MATCH("God",Parsed!$C$2:$C$10,0))=INDEX(Parsed!$H$2:$H$190,(MATCH(B12,Data!$B$2:$B$22,0)-1)*9+MATCH("God",Parsed!$C$2:$C$10,0)),INDEX(Parsed!$M$2:$M$190,(MATCH(A12,Data!$B$2:$B$22,0)-1)*9+MATCH("God",Parsed!$C$2:$C$10,0))*INDEX(Parsed!$I$2:$I$190,(MATCH(B12,Data!$B$2:$B$22,0)-1)*9+MATCH("God",Parsed!$C$2:$C$10,0)),0)+IF(INDEX(Parsed!$K$2:$K$190,(MATCH(A12,Data!$B$2:$B$22,0)-1)*9+MATCH("Politics",Parsed!$C$2:$C$10,0))=INDEX(Parsed!$H$2:$H$190,(MATCH(B12,Data!$B$2:$B$22,0)-1)*9+MATCH("Politics",Parsed!$C$2:$C$10,0)),INDEX(Parsed!$M$2:$M$190,(MATCH(A12,Data!$B$2:$B$22,0)-1)*9+MATCH("Politics",Parsed!$C$2:$C$10,0))*INDEX(Parsed!$I$2:$I$190,(MATCH(B12,Data!$B$2:$B$22,0)-1)*9+MATCH("Politics",Parsed!$C$2:$C$10,0)),0)+IF(INDEX(Parsed!$K$2:$K$190,(MATCH(A12,Data!$B$2:$B$22,0)-1)*9+MATCH("Marriage",Parsed!$C$2:$C$10,0))=INDEX(Parsed!$H$2:$H$190,(MATCH(B12,Data!$B$2:$B$22,0)-1)*9+MATCH("Marriage",Parsed!$C$2:$C$10,0)),INDEX(Parsed!$M$2:$M$190,(MATCH(A12,Data!$B$2:$B$22,0)-1)*9+MATCH("Marriage",Parsed!$C$2:$C$10,0))*INDEX(Parsed!$I$2:$I$190,(MATCH(B12,Data!$B$2:$B$22,0)-1)*9+MATCH("Marriage",Parsed!$C$2:$C$10,0)),0)+IF(INDEX(Parsed!$K$2:$K$190,(MATCH(A12,Data!$B$2:$B$22,0)-1)*9+MATCH("Children",Parsed!$C$2:$C$10,0))=INDEX(Parsed!$H$2:$H$190,(MATCH(B12,Data!$B$2:$B$22,0)-1)*9+MATCH("Children",Parsed!$C$2:$C$10,0)),INDEX(Parsed!$M$2:$M$190,(MATCH(A12,Data!$B$2:$B$22,0)-1)*9+MATCH("Children",Parsed!$C$2:$C$10,0))*INDEX(Parsed!$I$2:$I$190,(MATCH(B12,Data!$B$2:$B$22,0)-1)*9+MATCH("Children",Parsed!$C$2:$C$10,0)),0)+IF(INDEX(Parsed!$K$2:$K$190,(MATCH(A12,Data!$B$2:$B$22,0)-1)*9+MATCH("Ethicity",Parsed!$C$2:$C$10,0))=INDEX(Parsed!$H$2:$H$190,(MATCH(B12,Data!$B$2:$B$22,0)-1)*9+MATCH("Ethicity",Parsed!$C$2:$C$10,0)),INDEX(Parsed!$M$2:$M$190,(MATCH(A12,Data!$B$2:$B$22,0)-1)*9+MATCH("Ethicity",Parsed!$C$2:$C$10,0))*INDEX(Parsed!$I$2:$I$190,(MATCH(B12,Data!$B$2:$B$22,0)-1)*9+MATCH("Ethicity",Parsed!$C$2:$C$10,0)),0)+IF(INDEX(Parsed!$K$2:$K$190,(MATCH(A12,Data!$B$2:$B$22,0)-1)*9+MATCH("Past",Parsed!$C$2:$C$10,0))=INDEX(Parsed!$H$2:$H$190,(MATCH(B12,Data!$B$2:$B$22,0)-1)*9+MATCH("Past",Parsed!$C$2:$C$10,0)),INDEX(Parsed!$M$2:$M$190,(MATCH(A12,Data!$B$2:$B$22,0)-1)*9+MATCH("Past",Parsed!$C$2:$C$10,0))*INDEX(Parsed!$I$2:$I$190,(MATCH(B12,Data!$B$2:$B$22,0)-1)*9+MATCH("Past",Parsed!$C$2:$C$10,0)),0)+IF(INDEX(Parsed!$K$2:$K$190,(MATCH(A12,Data!$B$2:$B$22,0)-1)*9+MATCH("D/S",Parsed!$C$2:$C$10,0))=INDEX(Parsed!$H$2:$H$190,(MATCH(B12,Data!$B$2:$B$22,0)-1)*9+MATCH("D/S",Parsed!$C$2:$C$10,0)),INDEX(Parsed!$M$2:$M$190,(MATCH(A12,Data!$B$2:$B$22,0)-1)*9+MATCH("D/S",Parsed!$C$2:$C$10,0))*INDEX(Parsed!$I$2:$I$190,(MATCH(B12,Data!$B$2:$B$22,0)-1)*9+MATCH("D/S",Parsed!$C$2:$C$10,0)),0)+IF(INDEX(Parsed!$K$2:$K$190,(MATCH(A12,Data!$B$2:$B$22,0)-1)*9+MATCH("True/kind",Parsed!$C$2:$C$10,0))=INDEX(Parsed!$H$2:$H$190,(MATCH(B12,Data!$B$2:$B$22,0)-1)*9+MATCH("True/kind",Parsed!$C$2:$C$10,0)),INDEX(Parsed!$M$2:$M$190,(MATCH(A12,Data!$B$2:$B$22,0)-1)*9+MATCH("True/kind",Parsed!$C$2:$C$10,0))*INDEX(Parsed!$I$2:$I$190,(MATCH(B12,Data!$B$2:$B$22,0)-1)*9+MATCH("True/kind",Parsed!$C$2:$C$10,0)),0)+IF(INDEX(Parsed!$K$2:$K$190,(MATCH(A12,Data!$B$2:$B$22,0)-1)*9+MATCH("Animal",Parsed!$C$2:$C$10,0))=INDEX(Parsed!$H$2:$H$190,(MATCH(B12,Data!$B$2:$B$22,0)-1)*9+MATCH("Animal",Parsed!$C$2:$C$10,0)),INDEX(Parsed!$M$2:$M$190,(MATCH(A12,Data!$B$2:$B$22,0)-1)*9+MATCH("Animal",Parsed!$C$2:$C$10,0))*INDEX(Parsed!$I$2:$I$190,(MATCH(B12,Data!$B$2:$B$22,0)-1)*9+MATCH("Animal",Parsed!$C$2:$C$10,0)),0),0)</x:f>
        <x:v>81.25</x:v>
      </x:c>
      <x:c r="E12" s="11" t="n">
        <x:f>SQRT(C12*D12)</x:f>
        <x:v>53.32682251925385</x:v>
      </x:c>
    </x:row>
    <x:row r="13">
      <x:c r="A13" t="str">
        <x:v>alex</x:v>
      </x:c>
      <x:c r="B13" t="str">
        <x:v>angela</x:v>
      </x:c>
      <x:c r="C13" s="11" t="n">
        <x:f>IFERROR(IF(INDEX(Parsed!$K$2:$K$190,(MATCH(B13,Data!$B$2:$B$22,0)-1)*9+MATCH("God",Parsed!$C$2:$C$10,0))=INDEX(Parsed!$H$2:$H$190,(MATCH(A13,Data!$B$2:$B$22,0)-1)*9+MATCH("God",Parsed!$C$2:$C$10,0)),INDEX(Parsed!$M$2:$M$190,(MATCH(B13,Data!$B$2:$B$22,0)-1)*9+MATCH("God",Parsed!$C$2:$C$10,0))*INDEX(Parsed!$I$2:$I$190,(MATCH(A13,Data!$B$2:$B$22,0)-1)*9+MATCH("God",Parsed!$C$2:$C$10,0)),0)+IF(INDEX(Parsed!$K$2:$K$190,(MATCH(B13,Data!$B$2:$B$22,0)-1)*9+MATCH("Politics",Parsed!$C$2:$C$10,0))=INDEX(Parsed!$H$2:$H$190,(MATCH(A13,Data!$B$2:$B$22,0)-1)*9+MATCH("Politics",Parsed!$C$2:$C$10,0)),INDEX(Parsed!$M$2:$M$190,(MATCH(B13,Data!$B$2:$B$22,0)-1)*9+MATCH("Politics",Parsed!$C$2:$C$10,0))*INDEX(Parsed!$I$2:$I$190,(MATCH(A13,Data!$B$2:$B$22,0)-1)*9+MATCH("Politics",Parsed!$C$2:$C$10,0)),0)+IF(INDEX(Parsed!$K$2:$K$190,(MATCH(B13,Data!$B$2:$B$22,0)-1)*9+MATCH("Marriage",Parsed!$C$2:$C$10,0))=INDEX(Parsed!$H$2:$H$190,(MATCH(A13,Data!$B$2:$B$22,0)-1)*9+MATCH("Marriage",Parsed!$C$2:$C$10,0)),INDEX(Parsed!$M$2:$M$190,(MATCH(B13,Data!$B$2:$B$22,0)-1)*9+MATCH("Marriage",Parsed!$C$2:$C$10,0))*INDEX(Parsed!$I$2:$I$190,(MATCH(A13,Data!$B$2:$B$22,0)-1)*9+MATCH("Marriage",Parsed!$C$2:$C$10,0)),0)+IF(INDEX(Parsed!$K$2:$K$190,(MATCH(B13,Data!$B$2:$B$22,0)-1)*9+MATCH("Children",Parsed!$C$2:$C$10,0))=INDEX(Parsed!$H$2:$H$190,(MATCH(A13,Data!$B$2:$B$22,0)-1)*9+MATCH("Children",Parsed!$C$2:$C$10,0)),INDEX(Parsed!$M$2:$M$190,(MATCH(B13,Data!$B$2:$B$22,0)-1)*9+MATCH("Children",Parsed!$C$2:$C$10,0))*INDEX(Parsed!$I$2:$I$190,(MATCH(A13,Data!$B$2:$B$22,0)-1)*9+MATCH("Children",Parsed!$C$2:$C$10,0)),0)+IF(INDEX(Parsed!$K$2:$K$190,(MATCH(B13,Data!$B$2:$B$22,0)-1)*9+MATCH("Ethicity",Parsed!$C$2:$C$10,0))=INDEX(Parsed!$H$2:$H$190,(MATCH(A13,Data!$B$2:$B$22,0)-1)*9+MATCH("Ethicity",Parsed!$C$2:$C$10,0)),INDEX(Parsed!$M$2:$M$190,(MATCH(B13,Data!$B$2:$B$22,0)-1)*9+MATCH("Ethicity",Parsed!$C$2:$C$10,0))*INDEX(Parsed!$I$2:$I$190,(MATCH(A13,Data!$B$2:$B$22,0)-1)*9+MATCH("Ethicity",Parsed!$C$2:$C$10,0)),0)+IF(INDEX(Parsed!$K$2:$K$190,(MATCH(B13,Data!$B$2:$B$22,0)-1)*9+MATCH("Past",Parsed!$C$2:$C$10,0))=INDEX(Parsed!$H$2:$H$190,(MATCH(A13,Data!$B$2:$B$22,0)-1)*9+MATCH("Past",Parsed!$C$2:$C$10,0)),INDEX(Parsed!$M$2:$M$190,(MATCH(B13,Data!$B$2:$B$22,0)-1)*9+MATCH("Past",Parsed!$C$2:$C$10,0))*INDEX(Parsed!$I$2:$I$190,(MATCH(A13,Data!$B$2:$B$22,0)-1)*9+MATCH("Past",Parsed!$C$2:$C$10,0)),0)+IF(INDEX(Parsed!$K$2:$K$190,(MATCH(B13,Data!$B$2:$B$22,0)-1)*9+MATCH("D/S",Parsed!$C$2:$C$10,0))=INDEX(Parsed!$H$2:$H$190,(MATCH(A13,Data!$B$2:$B$22,0)-1)*9+MATCH("D/S",Parsed!$C$2:$C$10,0)),INDEX(Parsed!$M$2:$M$190,(MATCH(B13,Data!$B$2:$B$22,0)-1)*9+MATCH("D/S",Parsed!$C$2:$C$10,0))*INDEX(Parsed!$I$2:$I$190,(MATCH(A13,Data!$B$2:$B$22,0)-1)*9+MATCH("D/S",Parsed!$C$2:$C$10,0)),0)+IF(INDEX(Parsed!$K$2:$K$190,(MATCH(B13,Data!$B$2:$B$22,0)-1)*9+MATCH("True/kind",Parsed!$C$2:$C$10,0))=INDEX(Parsed!$H$2:$H$190,(MATCH(A13,Data!$B$2:$B$22,0)-1)*9+MATCH("True/kind",Parsed!$C$2:$C$10,0)),INDEX(Parsed!$M$2:$M$190,(MATCH(B13,Data!$B$2:$B$22,0)-1)*9+MATCH("True/kind",Parsed!$C$2:$C$10,0))*INDEX(Parsed!$I$2:$I$190,(MATCH(A13,Data!$B$2:$B$22,0)-1)*9+MATCH("True/kind",Parsed!$C$2:$C$10,0)),0)+IF(INDEX(Parsed!$K$2:$K$190,(MATCH(B13,Data!$B$2:$B$22,0)-1)*9+MATCH("Animal",Parsed!$C$2:$C$10,0))=INDEX(Parsed!$H$2:$H$190,(MATCH(A13,Data!$B$2:$B$22,0)-1)*9+MATCH("Animal",Parsed!$C$2:$C$10,0)),INDEX(Parsed!$M$2:$M$190,(MATCH(B13,Data!$B$2:$B$22,0)-1)*9+MATCH("Animal",Parsed!$C$2:$C$10,0))*INDEX(Parsed!$I$2:$I$190,(MATCH(A13,Data!$B$2:$B$22,0)-1)*9+MATCH("Animal",Parsed!$C$2:$C$10,0)),0),0)</x:f>
        <x:v>61.25</x:v>
      </x:c>
      <x:c r="D13" s="11" t="n">
        <x:f>IFERROR(IF(INDEX(Parsed!$K$2:$K$190,(MATCH(A13,Data!$B$2:$B$22,0)-1)*9+MATCH("God",Parsed!$C$2:$C$10,0))=INDEX(Parsed!$H$2:$H$190,(MATCH(B13,Data!$B$2:$B$22,0)-1)*9+MATCH("God",Parsed!$C$2:$C$10,0)),INDEX(Parsed!$M$2:$M$190,(MATCH(A13,Data!$B$2:$B$22,0)-1)*9+MATCH("God",Parsed!$C$2:$C$10,0))*INDEX(Parsed!$I$2:$I$190,(MATCH(B13,Data!$B$2:$B$22,0)-1)*9+MATCH("God",Parsed!$C$2:$C$10,0)),0)+IF(INDEX(Parsed!$K$2:$K$190,(MATCH(A13,Data!$B$2:$B$22,0)-1)*9+MATCH("Politics",Parsed!$C$2:$C$10,0))=INDEX(Parsed!$H$2:$H$190,(MATCH(B13,Data!$B$2:$B$22,0)-1)*9+MATCH("Politics",Parsed!$C$2:$C$10,0)),INDEX(Parsed!$M$2:$M$190,(MATCH(A13,Data!$B$2:$B$22,0)-1)*9+MATCH("Politics",Parsed!$C$2:$C$10,0))*INDEX(Parsed!$I$2:$I$190,(MATCH(B13,Data!$B$2:$B$22,0)-1)*9+MATCH("Politics",Parsed!$C$2:$C$10,0)),0)+IF(INDEX(Parsed!$K$2:$K$190,(MATCH(A13,Data!$B$2:$B$22,0)-1)*9+MATCH("Marriage",Parsed!$C$2:$C$10,0))=INDEX(Parsed!$H$2:$H$190,(MATCH(B13,Data!$B$2:$B$22,0)-1)*9+MATCH("Marriage",Parsed!$C$2:$C$10,0)),INDEX(Parsed!$M$2:$M$190,(MATCH(A13,Data!$B$2:$B$22,0)-1)*9+MATCH("Marriage",Parsed!$C$2:$C$10,0))*INDEX(Parsed!$I$2:$I$190,(MATCH(B13,Data!$B$2:$B$22,0)-1)*9+MATCH("Marriage",Parsed!$C$2:$C$10,0)),0)+IF(INDEX(Parsed!$K$2:$K$190,(MATCH(A13,Data!$B$2:$B$22,0)-1)*9+MATCH("Children",Parsed!$C$2:$C$10,0))=INDEX(Parsed!$H$2:$H$190,(MATCH(B13,Data!$B$2:$B$22,0)-1)*9+MATCH("Children",Parsed!$C$2:$C$10,0)),INDEX(Parsed!$M$2:$M$190,(MATCH(A13,Data!$B$2:$B$22,0)-1)*9+MATCH("Children",Parsed!$C$2:$C$10,0))*INDEX(Parsed!$I$2:$I$190,(MATCH(B13,Data!$B$2:$B$22,0)-1)*9+MATCH("Children",Parsed!$C$2:$C$10,0)),0)+IF(INDEX(Parsed!$K$2:$K$190,(MATCH(A13,Data!$B$2:$B$22,0)-1)*9+MATCH("Ethicity",Parsed!$C$2:$C$10,0))=INDEX(Parsed!$H$2:$H$190,(MATCH(B13,Data!$B$2:$B$22,0)-1)*9+MATCH("Ethicity",Parsed!$C$2:$C$10,0)),INDEX(Parsed!$M$2:$M$190,(MATCH(A13,Data!$B$2:$B$22,0)-1)*9+MATCH("Ethicity",Parsed!$C$2:$C$10,0))*INDEX(Parsed!$I$2:$I$190,(MATCH(B13,Data!$B$2:$B$22,0)-1)*9+MATCH("Ethicity",Parsed!$C$2:$C$10,0)),0)+IF(INDEX(Parsed!$K$2:$K$190,(MATCH(A13,Data!$B$2:$B$22,0)-1)*9+MATCH("Past",Parsed!$C$2:$C$10,0))=INDEX(Parsed!$H$2:$H$190,(MATCH(B13,Data!$B$2:$B$22,0)-1)*9+MATCH("Past",Parsed!$C$2:$C$10,0)),INDEX(Parsed!$M$2:$M$190,(MATCH(A13,Data!$B$2:$B$22,0)-1)*9+MATCH("Past",Parsed!$C$2:$C$10,0))*INDEX(Parsed!$I$2:$I$190,(MATCH(B13,Data!$B$2:$B$22,0)-1)*9+MATCH("Past",Parsed!$C$2:$C$10,0)),0)+IF(INDEX(Parsed!$K$2:$K$190,(MATCH(A13,Data!$B$2:$B$22,0)-1)*9+MATCH("D/S",Parsed!$C$2:$C$10,0))=INDEX(Parsed!$H$2:$H$190,(MATCH(B13,Data!$B$2:$B$22,0)-1)*9+MATCH("D/S",Parsed!$C$2:$C$10,0)),INDEX(Parsed!$M$2:$M$190,(MATCH(A13,Data!$B$2:$B$22,0)-1)*9+MATCH("D/S",Parsed!$C$2:$C$10,0))*INDEX(Parsed!$I$2:$I$190,(MATCH(B13,Data!$B$2:$B$22,0)-1)*9+MATCH("D/S",Parsed!$C$2:$C$10,0)),0)+IF(INDEX(Parsed!$K$2:$K$190,(MATCH(A13,Data!$B$2:$B$22,0)-1)*9+MATCH("True/kind",Parsed!$C$2:$C$10,0))=INDEX(Parsed!$H$2:$H$190,(MATCH(B13,Data!$B$2:$B$22,0)-1)*9+MATCH("True/kind",Parsed!$C$2:$C$10,0)),INDEX(Parsed!$M$2:$M$190,(MATCH(A13,Data!$B$2:$B$22,0)-1)*9+MATCH("True/kind",Parsed!$C$2:$C$10,0))*INDEX(Parsed!$I$2:$I$190,(MATCH(B13,Data!$B$2:$B$22,0)-1)*9+MATCH("True/kind",Parsed!$C$2:$C$10,0)),0)+IF(INDEX(Parsed!$K$2:$K$190,(MATCH(A13,Data!$B$2:$B$22,0)-1)*9+MATCH("Animal",Parsed!$C$2:$C$10,0))=INDEX(Parsed!$H$2:$H$190,(MATCH(B13,Data!$B$2:$B$22,0)-1)*9+MATCH("Animal",Parsed!$C$2:$C$10,0)),INDEX(Parsed!$M$2:$M$190,(MATCH(A13,Data!$B$2:$B$22,0)-1)*9+MATCH("Animal",Parsed!$C$2:$C$10,0))*INDEX(Parsed!$I$2:$I$190,(MATCH(B13,Data!$B$2:$B$22,0)-1)*9+MATCH("Animal",Parsed!$C$2:$C$10,0)),0),0)</x:f>
        <x:v>73.75</x:v>
      </x:c>
      <x:c r="E13" s="11" t="n">
        <x:f>SQRT(C13*D13)</x:f>
        <x:v>67.21002529385032</x:v>
      </x:c>
    </x:row>
    <x:row r="14">
      <x:c r="A14" t="str">
        <x:v>alex</x:v>
      </x:c>
      <x:c r="B14" t="str">
        <x:v>issabel</x:v>
      </x:c>
      <x:c r="C14" s="11" t="n">
        <x:f>IFERROR(IF(INDEX(Parsed!$K$2:$K$190,(MATCH(B14,Data!$B$2:$B$22,0)-1)*9+MATCH("God",Parsed!$C$2:$C$10,0))=INDEX(Parsed!$H$2:$H$190,(MATCH(A14,Data!$B$2:$B$22,0)-1)*9+MATCH("God",Parsed!$C$2:$C$10,0)),INDEX(Parsed!$M$2:$M$190,(MATCH(B14,Data!$B$2:$B$22,0)-1)*9+MATCH("God",Parsed!$C$2:$C$10,0))*INDEX(Parsed!$I$2:$I$190,(MATCH(A14,Data!$B$2:$B$22,0)-1)*9+MATCH("God",Parsed!$C$2:$C$10,0)),0)+IF(INDEX(Parsed!$K$2:$K$190,(MATCH(B14,Data!$B$2:$B$22,0)-1)*9+MATCH("Politics",Parsed!$C$2:$C$10,0))=INDEX(Parsed!$H$2:$H$190,(MATCH(A14,Data!$B$2:$B$22,0)-1)*9+MATCH("Politics",Parsed!$C$2:$C$10,0)),INDEX(Parsed!$M$2:$M$190,(MATCH(B14,Data!$B$2:$B$22,0)-1)*9+MATCH("Politics",Parsed!$C$2:$C$10,0))*INDEX(Parsed!$I$2:$I$190,(MATCH(A14,Data!$B$2:$B$22,0)-1)*9+MATCH("Politics",Parsed!$C$2:$C$10,0)),0)+IF(INDEX(Parsed!$K$2:$K$190,(MATCH(B14,Data!$B$2:$B$22,0)-1)*9+MATCH("Marriage",Parsed!$C$2:$C$10,0))=INDEX(Parsed!$H$2:$H$190,(MATCH(A14,Data!$B$2:$B$22,0)-1)*9+MATCH("Marriage",Parsed!$C$2:$C$10,0)),INDEX(Parsed!$M$2:$M$190,(MATCH(B14,Data!$B$2:$B$22,0)-1)*9+MATCH("Marriage",Parsed!$C$2:$C$10,0))*INDEX(Parsed!$I$2:$I$190,(MATCH(A14,Data!$B$2:$B$22,0)-1)*9+MATCH("Marriage",Parsed!$C$2:$C$10,0)),0)+IF(INDEX(Parsed!$K$2:$K$190,(MATCH(B14,Data!$B$2:$B$22,0)-1)*9+MATCH("Children",Parsed!$C$2:$C$10,0))=INDEX(Parsed!$H$2:$H$190,(MATCH(A14,Data!$B$2:$B$22,0)-1)*9+MATCH("Children",Parsed!$C$2:$C$10,0)),INDEX(Parsed!$M$2:$M$190,(MATCH(B14,Data!$B$2:$B$22,0)-1)*9+MATCH("Children",Parsed!$C$2:$C$10,0))*INDEX(Parsed!$I$2:$I$190,(MATCH(A14,Data!$B$2:$B$22,0)-1)*9+MATCH("Children",Parsed!$C$2:$C$10,0)),0)+IF(INDEX(Parsed!$K$2:$K$190,(MATCH(B14,Data!$B$2:$B$22,0)-1)*9+MATCH("Ethicity",Parsed!$C$2:$C$10,0))=INDEX(Parsed!$H$2:$H$190,(MATCH(A14,Data!$B$2:$B$22,0)-1)*9+MATCH("Ethicity",Parsed!$C$2:$C$10,0)),INDEX(Parsed!$M$2:$M$190,(MATCH(B14,Data!$B$2:$B$22,0)-1)*9+MATCH("Ethicity",Parsed!$C$2:$C$10,0))*INDEX(Parsed!$I$2:$I$190,(MATCH(A14,Data!$B$2:$B$22,0)-1)*9+MATCH("Ethicity",Parsed!$C$2:$C$10,0)),0)+IF(INDEX(Parsed!$K$2:$K$190,(MATCH(B14,Data!$B$2:$B$22,0)-1)*9+MATCH("Past",Parsed!$C$2:$C$10,0))=INDEX(Parsed!$H$2:$H$190,(MATCH(A14,Data!$B$2:$B$22,0)-1)*9+MATCH("Past",Parsed!$C$2:$C$10,0)),INDEX(Parsed!$M$2:$M$190,(MATCH(B14,Data!$B$2:$B$22,0)-1)*9+MATCH("Past",Parsed!$C$2:$C$10,0))*INDEX(Parsed!$I$2:$I$190,(MATCH(A14,Data!$B$2:$B$22,0)-1)*9+MATCH("Past",Parsed!$C$2:$C$10,0)),0)+IF(INDEX(Parsed!$K$2:$K$190,(MATCH(B14,Data!$B$2:$B$22,0)-1)*9+MATCH("D/S",Parsed!$C$2:$C$10,0))=INDEX(Parsed!$H$2:$H$190,(MATCH(A14,Data!$B$2:$B$22,0)-1)*9+MATCH("D/S",Parsed!$C$2:$C$10,0)),INDEX(Parsed!$M$2:$M$190,(MATCH(B14,Data!$B$2:$B$22,0)-1)*9+MATCH("D/S",Parsed!$C$2:$C$10,0))*INDEX(Parsed!$I$2:$I$190,(MATCH(A14,Data!$B$2:$B$22,0)-1)*9+MATCH("D/S",Parsed!$C$2:$C$10,0)),0)+IF(INDEX(Parsed!$K$2:$K$190,(MATCH(B14,Data!$B$2:$B$22,0)-1)*9+MATCH("True/kind",Parsed!$C$2:$C$10,0))=INDEX(Parsed!$H$2:$H$190,(MATCH(A14,Data!$B$2:$B$22,0)-1)*9+MATCH("True/kind",Parsed!$C$2:$C$10,0)),INDEX(Parsed!$M$2:$M$190,(MATCH(B14,Data!$B$2:$B$22,0)-1)*9+MATCH("True/kind",Parsed!$C$2:$C$10,0))*INDEX(Parsed!$I$2:$I$190,(MATCH(A14,Data!$B$2:$B$22,0)-1)*9+MATCH("True/kind",Parsed!$C$2:$C$10,0)),0)+IF(INDEX(Parsed!$K$2:$K$190,(MATCH(B14,Data!$B$2:$B$22,0)-1)*9+MATCH("Animal",Parsed!$C$2:$C$10,0))=INDEX(Parsed!$H$2:$H$190,(MATCH(A14,Data!$B$2:$B$22,0)-1)*9+MATCH("Animal",Parsed!$C$2:$C$10,0)),INDEX(Parsed!$M$2:$M$190,(MATCH(B14,Data!$B$2:$B$22,0)-1)*9+MATCH("Animal",Parsed!$C$2:$C$10,0))*INDEX(Parsed!$I$2:$I$190,(MATCH(A14,Data!$B$2:$B$22,0)-1)*9+MATCH("Animal",Parsed!$C$2:$C$10,0)),0),0)</x:f>
        <x:v>73.75</x:v>
      </x:c>
      <x:c r="D14" s="11" t="n">
        <x:f>IFERROR(IF(INDEX(Parsed!$K$2:$K$190,(MATCH(A14,Data!$B$2:$B$22,0)-1)*9+MATCH("God",Parsed!$C$2:$C$10,0))=INDEX(Parsed!$H$2:$H$190,(MATCH(B14,Data!$B$2:$B$22,0)-1)*9+MATCH("God",Parsed!$C$2:$C$10,0)),INDEX(Parsed!$M$2:$M$190,(MATCH(A14,Data!$B$2:$B$22,0)-1)*9+MATCH("God",Parsed!$C$2:$C$10,0))*INDEX(Parsed!$I$2:$I$190,(MATCH(B14,Data!$B$2:$B$22,0)-1)*9+MATCH("God",Parsed!$C$2:$C$10,0)),0)+IF(INDEX(Parsed!$K$2:$K$190,(MATCH(A14,Data!$B$2:$B$22,0)-1)*9+MATCH("Politics",Parsed!$C$2:$C$10,0))=INDEX(Parsed!$H$2:$H$190,(MATCH(B14,Data!$B$2:$B$22,0)-1)*9+MATCH("Politics",Parsed!$C$2:$C$10,0)),INDEX(Parsed!$M$2:$M$190,(MATCH(A14,Data!$B$2:$B$22,0)-1)*9+MATCH("Politics",Parsed!$C$2:$C$10,0))*INDEX(Parsed!$I$2:$I$190,(MATCH(B14,Data!$B$2:$B$22,0)-1)*9+MATCH("Politics",Parsed!$C$2:$C$10,0)),0)+IF(INDEX(Parsed!$K$2:$K$190,(MATCH(A14,Data!$B$2:$B$22,0)-1)*9+MATCH("Marriage",Parsed!$C$2:$C$10,0))=INDEX(Parsed!$H$2:$H$190,(MATCH(B14,Data!$B$2:$B$22,0)-1)*9+MATCH("Marriage",Parsed!$C$2:$C$10,0)),INDEX(Parsed!$M$2:$M$190,(MATCH(A14,Data!$B$2:$B$22,0)-1)*9+MATCH("Marriage",Parsed!$C$2:$C$10,0))*INDEX(Parsed!$I$2:$I$190,(MATCH(B14,Data!$B$2:$B$22,0)-1)*9+MATCH("Marriage",Parsed!$C$2:$C$10,0)),0)+IF(INDEX(Parsed!$K$2:$K$190,(MATCH(A14,Data!$B$2:$B$22,0)-1)*9+MATCH("Children",Parsed!$C$2:$C$10,0))=INDEX(Parsed!$H$2:$H$190,(MATCH(B14,Data!$B$2:$B$22,0)-1)*9+MATCH("Children",Parsed!$C$2:$C$10,0)),INDEX(Parsed!$M$2:$M$190,(MATCH(A14,Data!$B$2:$B$22,0)-1)*9+MATCH("Children",Parsed!$C$2:$C$10,0))*INDEX(Parsed!$I$2:$I$190,(MATCH(B14,Data!$B$2:$B$22,0)-1)*9+MATCH("Children",Parsed!$C$2:$C$10,0)),0)+IF(INDEX(Parsed!$K$2:$K$190,(MATCH(A14,Data!$B$2:$B$22,0)-1)*9+MATCH("Ethicity",Parsed!$C$2:$C$10,0))=INDEX(Parsed!$H$2:$H$190,(MATCH(B14,Data!$B$2:$B$22,0)-1)*9+MATCH("Ethicity",Parsed!$C$2:$C$10,0)),INDEX(Parsed!$M$2:$M$190,(MATCH(A14,Data!$B$2:$B$22,0)-1)*9+MATCH("Ethicity",Parsed!$C$2:$C$10,0))*INDEX(Parsed!$I$2:$I$190,(MATCH(B14,Data!$B$2:$B$22,0)-1)*9+MATCH("Ethicity",Parsed!$C$2:$C$10,0)),0)+IF(INDEX(Parsed!$K$2:$K$190,(MATCH(A14,Data!$B$2:$B$22,0)-1)*9+MATCH("Past",Parsed!$C$2:$C$10,0))=INDEX(Parsed!$H$2:$H$190,(MATCH(B14,Data!$B$2:$B$22,0)-1)*9+MATCH("Past",Parsed!$C$2:$C$10,0)),INDEX(Parsed!$M$2:$M$190,(MATCH(A14,Data!$B$2:$B$22,0)-1)*9+MATCH("Past",Parsed!$C$2:$C$10,0))*INDEX(Parsed!$I$2:$I$190,(MATCH(B14,Data!$B$2:$B$22,0)-1)*9+MATCH("Past",Parsed!$C$2:$C$10,0)),0)+IF(INDEX(Parsed!$K$2:$K$190,(MATCH(A14,Data!$B$2:$B$22,0)-1)*9+MATCH("D/S",Parsed!$C$2:$C$10,0))=INDEX(Parsed!$H$2:$H$190,(MATCH(B14,Data!$B$2:$B$22,0)-1)*9+MATCH("D/S",Parsed!$C$2:$C$10,0)),INDEX(Parsed!$M$2:$M$190,(MATCH(A14,Data!$B$2:$B$22,0)-1)*9+MATCH("D/S",Parsed!$C$2:$C$10,0))*INDEX(Parsed!$I$2:$I$190,(MATCH(B14,Data!$B$2:$B$22,0)-1)*9+MATCH("D/S",Parsed!$C$2:$C$10,0)),0)+IF(INDEX(Parsed!$K$2:$K$190,(MATCH(A14,Data!$B$2:$B$22,0)-1)*9+MATCH("True/kind",Parsed!$C$2:$C$10,0))=INDEX(Parsed!$H$2:$H$190,(MATCH(B14,Data!$B$2:$B$22,0)-1)*9+MATCH("True/kind",Parsed!$C$2:$C$10,0)),INDEX(Parsed!$M$2:$M$190,(MATCH(A14,Data!$B$2:$B$22,0)-1)*9+MATCH("True/kind",Parsed!$C$2:$C$10,0))*INDEX(Parsed!$I$2:$I$190,(MATCH(B14,Data!$B$2:$B$22,0)-1)*9+MATCH("True/kind",Parsed!$C$2:$C$10,0)),0)+IF(INDEX(Parsed!$K$2:$K$190,(MATCH(A14,Data!$B$2:$B$22,0)-1)*9+MATCH("Animal",Parsed!$C$2:$C$10,0))=INDEX(Parsed!$H$2:$H$190,(MATCH(B14,Data!$B$2:$B$22,0)-1)*9+MATCH("Animal",Parsed!$C$2:$C$10,0)),INDEX(Parsed!$M$2:$M$190,(MATCH(A14,Data!$B$2:$B$22,0)-1)*9+MATCH("Animal",Parsed!$C$2:$C$10,0))*INDEX(Parsed!$I$2:$I$190,(MATCH(B14,Data!$B$2:$B$22,0)-1)*9+MATCH("Animal",Parsed!$C$2:$C$10,0)),0),0)</x:f>
        <x:v>65</x:v>
      </x:c>
      <x:c r="E14" s="11" t="n">
        <x:f>SQRT(C14*D14)</x:f>
        <x:v>69.23691212063115</x:v>
      </x:c>
    </x:row>
    <x:row r="15">
      <x:c r="A15" t="str">
        <x:v>alex</x:v>
      </x:c>
      <x:c r="B15" t="str">
        <x:v>lydia</x:v>
      </x:c>
      <x:c r="C15" s="11" t="n">
        <x:f>IFERROR(IF(INDEX(Parsed!$K$2:$K$190,(MATCH(B15,Data!$B$2:$B$22,0)-1)*9+MATCH("God",Parsed!$C$2:$C$10,0))=INDEX(Parsed!$H$2:$H$190,(MATCH(A15,Data!$B$2:$B$22,0)-1)*9+MATCH("God",Parsed!$C$2:$C$10,0)),INDEX(Parsed!$M$2:$M$190,(MATCH(B15,Data!$B$2:$B$22,0)-1)*9+MATCH("God",Parsed!$C$2:$C$10,0))*INDEX(Parsed!$I$2:$I$190,(MATCH(A15,Data!$B$2:$B$22,0)-1)*9+MATCH("God",Parsed!$C$2:$C$10,0)),0)+IF(INDEX(Parsed!$K$2:$K$190,(MATCH(B15,Data!$B$2:$B$22,0)-1)*9+MATCH("Politics",Parsed!$C$2:$C$10,0))=INDEX(Parsed!$H$2:$H$190,(MATCH(A15,Data!$B$2:$B$22,0)-1)*9+MATCH("Politics",Parsed!$C$2:$C$10,0)),INDEX(Parsed!$M$2:$M$190,(MATCH(B15,Data!$B$2:$B$22,0)-1)*9+MATCH("Politics",Parsed!$C$2:$C$10,0))*INDEX(Parsed!$I$2:$I$190,(MATCH(A15,Data!$B$2:$B$22,0)-1)*9+MATCH("Politics",Parsed!$C$2:$C$10,0)),0)+IF(INDEX(Parsed!$K$2:$K$190,(MATCH(B15,Data!$B$2:$B$22,0)-1)*9+MATCH("Marriage",Parsed!$C$2:$C$10,0))=INDEX(Parsed!$H$2:$H$190,(MATCH(A15,Data!$B$2:$B$22,0)-1)*9+MATCH("Marriage",Parsed!$C$2:$C$10,0)),INDEX(Parsed!$M$2:$M$190,(MATCH(B15,Data!$B$2:$B$22,0)-1)*9+MATCH("Marriage",Parsed!$C$2:$C$10,0))*INDEX(Parsed!$I$2:$I$190,(MATCH(A15,Data!$B$2:$B$22,0)-1)*9+MATCH("Marriage",Parsed!$C$2:$C$10,0)),0)+IF(INDEX(Parsed!$K$2:$K$190,(MATCH(B15,Data!$B$2:$B$22,0)-1)*9+MATCH("Children",Parsed!$C$2:$C$10,0))=INDEX(Parsed!$H$2:$H$190,(MATCH(A15,Data!$B$2:$B$22,0)-1)*9+MATCH("Children",Parsed!$C$2:$C$10,0)),INDEX(Parsed!$M$2:$M$190,(MATCH(B15,Data!$B$2:$B$22,0)-1)*9+MATCH("Children",Parsed!$C$2:$C$10,0))*INDEX(Parsed!$I$2:$I$190,(MATCH(A15,Data!$B$2:$B$22,0)-1)*9+MATCH("Children",Parsed!$C$2:$C$10,0)),0)+IF(INDEX(Parsed!$K$2:$K$190,(MATCH(B15,Data!$B$2:$B$22,0)-1)*9+MATCH("Ethicity",Parsed!$C$2:$C$10,0))=INDEX(Parsed!$H$2:$H$190,(MATCH(A15,Data!$B$2:$B$22,0)-1)*9+MATCH("Ethicity",Parsed!$C$2:$C$10,0)),INDEX(Parsed!$M$2:$M$190,(MATCH(B15,Data!$B$2:$B$22,0)-1)*9+MATCH("Ethicity",Parsed!$C$2:$C$10,0))*INDEX(Parsed!$I$2:$I$190,(MATCH(A15,Data!$B$2:$B$22,0)-1)*9+MATCH("Ethicity",Parsed!$C$2:$C$10,0)),0)+IF(INDEX(Parsed!$K$2:$K$190,(MATCH(B15,Data!$B$2:$B$22,0)-1)*9+MATCH("Past",Parsed!$C$2:$C$10,0))=INDEX(Parsed!$H$2:$H$190,(MATCH(A15,Data!$B$2:$B$22,0)-1)*9+MATCH("Past",Parsed!$C$2:$C$10,0)),INDEX(Parsed!$M$2:$M$190,(MATCH(B15,Data!$B$2:$B$22,0)-1)*9+MATCH("Past",Parsed!$C$2:$C$10,0))*INDEX(Parsed!$I$2:$I$190,(MATCH(A15,Data!$B$2:$B$22,0)-1)*9+MATCH("Past",Parsed!$C$2:$C$10,0)),0)+IF(INDEX(Parsed!$K$2:$K$190,(MATCH(B15,Data!$B$2:$B$22,0)-1)*9+MATCH("D/S",Parsed!$C$2:$C$10,0))=INDEX(Parsed!$H$2:$H$190,(MATCH(A15,Data!$B$2:$B$22,0)-1)*9+MATCH("D/S",Parsed!$C$2:$C$10,0)),INDEX(Parsed!$M$2:$M$190,(MATCH(B15,Data!$B$2:$B$22,0)-1)*9+MATCH("D/S",Parsed!$C$2:$C$10,0))*INDEX(Parsed!$I$2:$I$190,(MATCH(A15,Data!$B$2:$B$22,0)-1)*9+MATCH("D/S",Parsed!$C$2:$C$10,0)),0)+IF(INDEX(Parsed!$K$2:$K$190,(MATCH(B15,Data!$B$2:$B$22,0)-1)*9+MATCH("True/kind",Parsed!$C$2:$C$10,0))=INDEX(Parsed!$H$2:$H$190,(MATCH(A15,Data!$B$2:$B$22,0)-1)*9+MATCH("True/kind",Parsed!$C$2:$C$10,0)),INDEX(Parsed!$M$2:$M$190,(MATCH(B15,Data!$B$2:$B$22,0)-1)*9+MATCH("True/kind",Parsed!$C$2:$C$10,0))*INDEX(Parsed!$I$2:$I$190,(MATCH(A15,Data!$B$2:$B$22,0)-1)*9+MATCH("True/kind",Parsed!$C$2:$C$10,0)),0)+IF(INDEX(Parsed!$K$2:$K$190,(MATCH(B15,Data!$B$2:$B$22,0)-1)*9+MATCH("Animal",Parsed!$C$2:$C$10,0))=INDEX(Parsed!$H$2:$H$190,(MATCH(A15,Data!$B$2:$B$22,0)-1)*9+MATCH("Animal",Parsed!$C$2:$C$10,0)),INDEX(Parsed!$M$2:$M$190,(MATCH(B15,Data!$B$2:$B$22,0)-1)*9+MATCH("Animal",Parsed!$C$2:$C$10,0))*INDEX(Parsed!$I$2:$I$190,(MATCH(A15,Data!$B$2:$B$22,0)-1)*9+MATCH("Animal",Parsed!$C$2:$C$10,0)),0),0)</x:f>
        <x:v>33.75</x:v>
      </x:c>
      <x:c r="D15" s="11" t="n">
        <x:f>IFERROR(IF(INDEX(Parsed!$K$2:$K$190,(MATCH(A15,Data!$B$2:$B$22,0)-1)*9+MATCH("God",Parsed!$C$2:$C$10,0))=INDEX(Parsed!$H$2:$H$190,(MATCH(B15,Data!$B$2:$B$22,0)-1)*9+MATCH("God",Parsed!$C$2:$C$10,0)),INDEX(Parsed!$M$2:$M$190,(MATCH(A15,Data!$B$2:$B$22,0)-1)*9+MATCH("God",Parsed!$C$2:$C$10,0))*INDEX(Parsed!$I$2:$I$190,(MATCH(B15,Data!$B$2:$B$22,0)-1)*9+MATCH("God",Parsed!$C$2:$C$10,0)),0)+IF(INDEX(Parsed!$K$2:$K$190,(MATCH(A15,Data!$B$2:$B$22,0)-1)*9+MATCH("Politics",Parsed!$C$2:$C$10,0))=INDEX(Parsed!$H$2:$H$190,(MATCH(B15,Data!$B$2:$B$22,0)-1)*9+MATCH("Politics",Parsed!$C$2:$C$10,0)),INDEX(Parsed!$M$2:$M$190,(MATCH(A15,Data!$B$2:$B$22,0)-1)*9+MATCH("Politics",Parsed!$C$2:$C$10,0))*INDEX(Parsed!$I$2:$I$190,(MATCH(B15,Data!$B$2:$B$22,0)-1)*9+MATCH("Politics",Parsed!$C$2:$C$10,0)),0)+IF(INDEX(Parsed!$K$2:$K$190,(MATCH(A15,Data!$B$2:$B$22,0)-1)*9+MATCH("Marriage",Parsed!$C$2:$C$10,0))=INDEX(Parsed!$H$2:$H$190,(MATCH(B15,Data!$B$2:$B$22,0)-1)*9+MATCH("Marriage",Parsed!$C$2:$C$10,0)),INDEX(Parsed!$M$2:$M$190,(MATCH(A15,Data!$B$2:$B$22,0)-1)*9+MATCH("Marriage",Parsed!$C$2:$C$10,0))*INDEX(Parsed!$I$2:$I$190,(MATCH(B15,Data!$B$2:$B$22,0)-1)*9+MATCH("Marriage",Parsed!$C$2:$C$10,0)),0)+IF(INDEX(Parsed!$K$2:$K$190,(MATCH(A15,Data!$B$2:$B$22,0)-1)*9+MATCH("Children",Parsed!$C$2:$C$10,0))=INDEX(Parsed!$H$2:$H$190,(MATCH(B15,Data!$B$2:$B$22,0)-1)*9+MATCH("Children",Parsed!$C$2:$C$10,0)),INDEX(Parsed!$M$2:$M$190,(MATCH(A15,Data!$B$2:$B$22,0)-1)*9+MATCH("Children",Parsed!$C$2:$C$10,0))*INDEX(Parsed!$I$2:$I$190,(MATCH(B15,Data!$B$2:$B$22,0)-1)*9+MATCH("Children",Parsed!$C$2:$C$10,0)),0)+IF(INDEX(Parsed!$K$2:$K$190,(MATCH(A15,Data!$B$2:$B$22,0)-1)*9+MATCH("Ethicity",Parsed!$C$2:$C$10,0))=INDEX(Parsed!$H$2:$H$190,(MATCH(B15,Data!$B$2:$B$22,0)-1)*9+MATCH("Ethicity",Parsed!$C$2:$C$10,0)),INDEX(Parsed!$M$2:$M$190,(MATCH(A15,Data!$B$2:$B$22,0)-1)*9+MATCH("Ethicity",Parsed!$C$2:$C$10,0))*INDEX(Parsed!$I$2:$I$190,(MATCH(B15,Data!$B$2:$B$22,0)-1)*9+MATCH("Ethicity",Parsed!$C$2:$C$10,0)),0)+IF(INDEX(Parsed!$K$2:$K$190,(MATCH(A15,Data!$B$2:$B$22,0)-1)*9+MATCH("Past",Parsed!$C$2:$C$10,0))=INDEX(Parsed!$H$2:$H$190,(MATCH(B15,Data!$B$2:$B$22,0)-1)*9+MATCH("Past",Parsed!$C$2:$C$10,0)),INDEX(Parsed!$M$2:$M$190,(MATCH(A15,Data!$B$2:$B$22,0)-1)*9+MATCH("Past",Parsed!$C$2:$C$10,0))*INDEX(Parsed!$I$2:$I$190,(MATCH(B15,Data!$B$2:$B$22,0)-1)*9+MATCH("Past",Parsed!$C$2:$C$10,0)),0)+IF(INDEX(Parsed!$K$2:$K$190,(MATCH(A15,Data!$B$2:$B$22,0)-1)*9+MATCH("D/S",Parsed!$C$2:$C$10,0))=INDEX(Parsed!$H$2:$H$190,(MATCH(B15,Data!$B$2:$B$22,0)-1)*9+MATCH("D/S",Parsed!$C$2:$C$10,0)),INDEX(Parsed!$M$2:$M$190,(MATCH(A15,Data!$B$2:$B$22,0)-1)*9+MATCH("D/S",Parsed!$C$2:$C$10,0))*INDEX(Parsed!$I$2:$I$190,(MATCH(B15,Data!$B$2:$B$22,0)-1)*9+MATCH("D/S",Parsed!$C$2:$C$10,0)),0)+IF(INDEX(Parsed!$K$2:$K$190,(MATCH(A15,Data!$B$2:$B$22,0)-1)*9+MATCH("True/kind",Parsed!$C$2:$C$10,0))=INDEX(Parsed!$H$2:$H$190,(MATCH(B15,Data!$B$2:$B$22,0)-1)*9+MATCH("True/kind",Parsed!$C$2:$C$10,0)),INDEX(Parsed!$M$2:$M$190,(MATCH(A15,Data!$B$2:$B$22,0)-1)*9+MATCH("True/kind",Parsed!$C$2:$C$10,0))*INDEX(Parsed!$I$2:$I$190,(MATCH(B15,Data!$B$2:$B$22,0)-1)*9+MATCH("True/kind",Parsed!$C$2:$C$10,0)),0)+IF(INDEX(Parsed!$K$2:$K$190,(MATCH(A15,Data!$B$2:$B$22,0)-1)*9+MATCH("Animal",Parsed!$C$2:$C$10,0))=INDEX(Parsed!$H$2:$H$190,(MATCH(B15,Data!$B$2:$B$22,0)-1)*9+MATCH("Animal",Parsed!$C$2:$C$10,0)),INDEX(Parsed!$M$2:$M$190,(MATCH(A15,Data!$B$2:$B$22,0)-1)*9+MATCH("Animal",Parsed!$C$2:$C$10,0))*INDEX(Parsed!$I$2:$I$190,(MATCH(B15,Data!$B$2:$B$22,0)-1)*9+MATCH("Animal",Parsed!$C$2:$C$10,0)),0),0)</x:f>
        <x:v>51.25</x:v>
      </x:c>
      <x:c r="E15" s="11" t="n">
        <x:f>SQRT(C15*D15)</x:f>
        <x:v>41.589511899035315</x:v>
      </x:c>
    </x:row>
    <x:row r="16">
      <x:c r="A16" t="str">
        <x:v>ethan</x:v>
      </x:c>
      <x:c r="B16" t="str">
        <x:v>jasmine</x:v>
      </x:c>
      <x:c r="C16" s="11" t="n">
        <x:f>IFERROR(IF(INDEX(Parsed!$K$2:$K$190,(MATCH(B16,Data!$B$2:$B$22,0)-1)*9+MATCH("God",Parsed!$C$2:$C$10,0))=INDEX(Parsed!$H$2:$H$190,(MATCH(A16,Data!$B$2:$B$22,0)-1)*9+MATCH("God",Parsed!$C$2:$C$10,0)),INDEX(Parsed!$M$2:$M$190,(MATCH(B16,Data!$B$2:$B$22,0)-1)*9+MATCH("God",Parsed!$C$2:$C$10,0))*INDEX(Parsed!$I$2:$I$190,(MATCH(A16,Data!$B$2:$B$22,0)-1)*9+MATCH("God",Parsed!$C$2:$C$10,0)),0)+IF(INDEX(Parsed!$K$2:$K$190,(MATCH(B16,Data!$B$2:$B$22,0)-1)*9+MATCH("Politics",Parsed!$C$2:$C$10,0))=INDEX(Parsed!$H$2:$H$190,(MATCH(A16,Data!$B$2:$B$22,0)-1)*9+MATCH("Politics",Parsed!$C$2:$C$10,0)),INDEX(Parsed!$M$2:$M$190,(MATCH(B16,Data!$B$2:$B$22,0)-1)*9+MATCH("Politics",Parsed!$C$2:$C$10,0))*INDEX(Parsed!$I$2:$I$190,(MATCH(A16,Data!$B$2:$B$22,0)-1)*9+MATCH("Politics",Parsed!$C$2:$C$10,0)),0)+IF(INDEX(Parsed!$K$2:$K$190,(MATCH(B16,Data!$B$2:$B$22,0)-1)*9+MATCH("Marriage",Parsed!$C$2:$C$10,0))=INDEX(Parsed!$H$2:$H$190,(MATCH(A16,Data!$B$2:$B$22,0)-1)*9+MATCH("Marriage",Parsed!$C$2:$C$10,0)),INDEX(Parsed!$M$2:$M$190,(MATCH(B16,Data!$B$2:$B$22,0)-1)*9+MATCH("Marriage",Parsed!$C$2:$C$10,0))*INDEX(Parsed!$I$2:$I$190,(MATCH(A16,Data!$B$2:$B$22,0)-1)*9+MATCH("Marriage",Parsed!$C$2:$C$10,0)),0)+IF(INDEX(Parsed!$K$2:$K$190,(MATCH(B16,Data!$B$2:$B$22,0)-1)*9+MATCH("Children",Parsed!$C$2:$C$10,0))=INDEX(Parsed!$H$2:$H$190,(MATCH(A16,Data!$B$2:$B$22,0)-1)*9+MATCH("Children",Parsed!$C$2:$C$10,0)),INDEX(Parsed!$M$2:$M$190,(MATCH(B16,Data!$B$2:$B$22,0)-1)*9+MATCH("Children",Parsed!$C$2:$C$10,0))*INDEX(Parsed!$I$2:$I$190,(MATCH(A16,Data!$B$2:$B$22,0)-1)*9+MATCH("Children",Parsed!$C$2:$C$10,0)),0)+IF(INDEX(Parsed!$K$2:$K$190,(MATCH(B16,Data!$B$2:$B$22,0)-1)*9+MATCH("Ethicity",Parsed!$C$2:$C$10,0))=INDEX(Parsed!$H$2:$H$190,(MATCH(A16,Data!$B$2:$B$22,0)-1)*9+MATCH("Ethicity",Parsed!$C$2:$C$10,0)),INDEX(Parsed!$M$2:$M$190,(MATCH(B16,Data!$B$2:$B$22,0)-1)*9+MATCH("Ethicity",Parsed!$C$2:$C$10,0))*INDEX(Parsed!$I$2:$I$190,(MATCH(A16,Data!$B$2:$B$22,0)-1)*9+MATCH("Ethicity",Parsed!$C$2:$C$10,0)),0)+IF(INDEX(Parsed!$K$2:$K$190,(MATCH(B16,Data!$B$2:$B$22,0)-1)*9+MATCH("Past",Parsed!$C$2:$C$10,0))=INDEX(Parsed!$H$2:$H$190,(MATCH(A16,Data!$B$2:$B$22,0)-1)*9+MATCH("Past",Parsed!$C$2:$C$10,0)),INDEX(Parsed!$M$2:$M$190,(MATCH(B16,Data!$B$2:$B$22,0)-1)*9+MATCH("Past",Parsed!$C$2:$C$10,0))*INDEX(Parsed!$I$2:$I$190,(MATCH(A16,Data!$B$2:$B$22,0)-1)*9+MATCH("Past",Parsed!$C$2:$C$10,0)),0)+IF(INDEX(Parsed!$K$2:$K$190,(MATCH(B16,Data!$B$2:$B$22,0)-1)*9+MATCH("D/S",Parsed!$C$2:$C$10,0))=INDEX(Parsed!$H$2:$H$190,(MATCH(A16,Data!$B$2:$B$22,0)-1)*9+MATCH("D/S",Parsed!$C$2:$C$10,0)),INDEX(Parsed!$M$2:$M$190,(MATCH(B16,Data!$B$2:$B$22,0)-1)*9+MATCH("D/S",Parsed!$C$2:$C$10,0))*INDEX(Parsed!$I$2:$I$190,(MATCH(A16,Data!$B$2:$B$22,0)-1)*9+MATCH("D/S",Parsed!$C$2:$C$10,0)),0)+IF(INDEX(Parsed!$K$2:$K$190,(MATCH(B16,Data!$B$2:$B$22,0)-1)*9+MATCH("True/kind",Parsed!$C$2:$C$10,0))=INDEX(Parsed!$H$2:$H$190,(MATCH(A16,Data!$B$2:$B$22,0)-1)*9+MATCH("True/kind",Parsed!$C$2:$C$10,0)),INDEX(Parsed!$M$2:$M$190,(MATCH(B16,Data!$B$2:$B$22,0)-1)*9+MATCH("True/kind",Parsed!$C$2:$C$10,0))*INDEX(Parsed!$I$2:$I$190,(MATCH(A16,Data!$B$2:$B$22,0)-1)*9+MATCH("True/kind",Parsed!$C$2:$C$10,0)),0)+IF(INDEX(Parsed!$K$2:$K$190,(MATCH(B16,Data!$B$2:$B$22,0)-1)*9+MATCH("Animal",Parsed!$C$2:$C$10,0))=INDEX(Parsed!$H$2:$H$190,(MATCH(A16,Data!$B$2:$B$22,0)-1)*9+MATCH("Animal",Parsed!$C$2:$C$10,0)),INDEX(Parsed!$M$2:$M$190,(MATCH(B16,Data!$B$2:$B$22,0)-1)*9+MATCH("Animal",Parsed!$C$2:$C$10,0))*INDEX(Parsed!$I$2:$I$190,(MATCH(A16,Data!$B$2:$B$22,0)-1)*9+MATCH("Animal",Parsed!$C$2:$C$10,0)),0),0)</x:f>
        <x:v>76.25</x:v>
      </x:c>
      <x:c r="D16" s="11" t="n">
        <x:f>IFERROR(IF(INDEX(Parsed!$K$2:$K$190,(MATCH(A16,Data!$B$2:$B$22,0)-1)*9+MATCH("God",Parsed!$C$2:$C$10,0))=INDEX(Parsed!$H$2:$H$190,(MATCH(B16,Data!$B$2:$B$22,0)-1)*9+MATCH("God",Parsed!$C$2:$C$10,0)),INDEX(Parsed!$M$2:$M$190,(MATCH(A16,Data!$B$2:$B$22,0)-1)*9+MATCH("God",Parsed!$C$2:$C$10,0))*INDEX(Parsed!$I$2:$I$190,(MATCH(B16,Data!$B$2:$B$22,0)-1)*9+MATCH("God",Parsed!$C$2:$C$10,0)),0)+IF(INDEX(Parsed!$K$2:$K$190,(MATCH(A16,Data!$B$2:$B$22,0)-1)*9+MATCH("Politics",Parsed!$C$2:$C$10,0))=INDEX(Parsed!$H$2:$H$190,(MATCH(B16,Data!$B$2:$B$22,0)-1)*9+MATCH("Politics",Parsed!$C$2:$C$10,0)),INDEX(Parsed!$M$2:$M$190,(MATCH(A16,Data!$B$2:$B$22,0)-1)*9+MATCH("Politics",Parsed!$C$2:$C$10,0))*INDEX(Parsed!$I$2:$I$190,(MATCH(B16,Data!$B$2:$B$22,0)-1)*9+MATCH("Politics",Parsed!$C$2:$C$10,0)),0)+IF(INDEX(Parsed!$K$2:$K$190,(MATCH(A16,Data!$B$2:$B$22,0)-1)*9+MATCH("Marriage",Parsed!$C$2:$C$10,0))=INDEX(Parsed!$H$2:$H$190,(MATCH(B16,Data!$B$2:$B$22,0)-1)*9+MATCH("Marriage",Parsed!$C$2:$C$10,0)),INDEX(Parsed!$M$2:$M$190,(MATCH(A16,Data!$B$2:$B$22,0)-1)*9+MATCH("Marriage",Parsed!$C$2:$C$10,0))*INDEX(Parsed!$I$2:$I$190,(MATCH(B16,Data!$B$2:$B$22,0)-1)*9+MATCH("Marriage",Parsed!$C$2:$C$10,0)),0)+IF(INDEX(Parsed!$K$2:$K$190,(MATCH(A16,Data!$B$2:$B$22,0)-1)*9+MATCH("Children",Parsed!$C$2:$C$10,0))=INDEX(Parsed!$H$2:$H$190,(MATCH(B16,Data!$B$2:$B$22,0)-1)*9+MATCH("Children",Parsed!$C$2:$C$10,0)),INDEX(Parsed!$M$2:$M$190,(MATCH(A16,Data!$B$2:$B$22,0)-1)*9+MATCH("Children",Parsed!$C$2:$C$10,0))*INDEX(Parsed!$I$2:$I$190,(MATCH(B16,Data!$B$2:$B$22,0)-1)*9+MATCH("Children",Parsed!$C$2:$C$10,0)),0)+IF(INDEX(Parsed!$K$2:$K$190,(MATCH(A16,Data!$B$2:$B$22,0)-1)*9+MATCH("Ethicity",Parsed!$C$2:$C$10,0))=INDEX(Parsed!$H$2:$H$190,(MATCH(B16,Data!$B$2:$B$22,0)-1)*9+MATCH("Ethicity",Parsed!$C$2:$C$10,0)),INDEX(Parsed!$M$2:$M$190,(MATCH(A16,Data!$B$2:$B$22,0)-1)*9+MATCH("Ethicity",Parsed!$C$2:$C$10,0))*INDEX(Parsed!$I$2:$I$190,(MATCH(B16,Data!$B$2:$B$22,0)-1)*9+MATCH("Ethicity",Parsed!$C$2:$C$10,0)),0)+IF(INDEX(Parsed!$K$2:$K$190,(MATCH(A16,Data!$B$2:$B$22,0)-1)*9+MATCH("Past",Parsed!$C$2:$C$10,0))=INDEX(Parsed!$H$2:$H$190,(MATCH(B16,Data!$B$2:$B$22,0)-1)*9+MATCH("Past",Parsed!$C$2:$C$10,0)),INDEX(Parsed!$M$2:$M$190,(MATCH(A16,Data!$B$2:$B$22,0)-1)*9+MATCH("Past",Parsed!$C$2:$C$10,0))*INDEX(Parsed!$I$2:$I$190,(MATCH(B16,Data!$B$2:$B$22,0)-1)*9+MATCH("Past",Parsed!$C$2:$C$10,0)),0)+IF(INDEX(Parsed!$K$2:$K$190,(MATCH(A16,Data!$B$2:$B$22,0)-1)*9+MATCH("D/S",Parsed!$C$2:$C$10,0))=INDEX(Parsed!$H$2:$H$190,(MATCH(B16,Data!$B$2:$B$22,0)-1)*9+MATCH("D/S",Parsed!$C$2:$C$10,0)),INDEX(Parsed!$M$2:$M$190,(MATCH(A16,Data!$B$2:$B$22,0)-1)*9+MATCH("D/S",Parsed!$C$2:$C$10,0))*INDEX(Parsed!$I$2:$I$190,(MATCH(B16,Data!$B$2:$B$22,0)-1)*9+MATCH("D/S",Parsed!$C$2:$C$10,0)),0)+IF(INDEX(Parsed!$K$2:$K$190,(MATCH(A16,Data!$B$2:$B$22,0)-1)*9+MATCH("True/kind",Parsed!$C$2:$C$10,0))=INDEX(Parsed!$H$2:$H$190,(MATCH(B16,Data!$B$2:$B$22,0)-1)*9+MATCH("True/kind",Parsed!$C$2:$C$10,0)),INDEX(Parsed!$M$2:$M$190,(MATCH(A16,Data!$B$2:$B$22,0)-1)*9+MATCH("True/kind",Parsed!$C$2:$C$10,0))*INDEX(Parsed!$I$2:$I$190,(MATCH(B16,Data!$B$2:$B$22,0)-1)*9+MATCH("True/kind",Parsed!$C$2:$C$10,0)),0)+IF(INDEX(Parsed!$K$2:$K$190,(MATCH(A16,Data!$B$2:$B$22,0)-1)*9+MATCH("Animal",Parsed!$C$2:$C$10,0))=INDEX(Parsed!$H$2:$H$190,(MATCH(B16,Data!$B$2:$B$22,0)-1)*9+MATCH("Animal",Parsed!$C$2:$C$10,0)),INDEX(Parsed!$M$2:$M$190,(MATCH(A16,Data!$B$2:$B$22,0)-1)*9+MATCH("Animal",Parsed!$C$2:$C$10,0))*INDEX(Parsed!$I$2:$I$190,(MATCH(B16,Data!$B$2:$B$22,0)-1)*9+MATCH("Animal",Parsed!$C$2:$C$10,0)),0),0)</x:f>
        <x:v>81.25</x:v>
      </x:c>
      <x:c r="E16" s="11" t="n">
        <x:f>SQRT(C16*D16)</x:f>
        <x:v>78.71030745715582</x:v>
      </x:c>
    </x:row>
    <x:row r="17">
      <x:c r="A17" t="str">
        <x:v>ethan</x:v>
      </x:c>
      <x:c r="B17" t="str">
        <x:v>cathleen</x:v>
      </x:c>
      <x:c r="C17" s="11" t="n">
        <x:f>IFERROR(IF(INDEX(Parsed!$K$2:$K$190,(MATCH(B17,Data!$B$2:$B$22,0)-1)*9+MATCH("God",Parsed!$C$2:$C$10,0))=INDEX(Parsed!$H$2:$H$190,(MATCH(A17,Data!$B$2:$B$22,0)-1)*9+MATCH("God",Parsed!$C$2:$C$10,0)),INDEX(Parsed!$M$2:$M$190,(MATCH(B17,Data!$B$2:$B$22,0)-1)*9+MATCH("God",Parsed!$C$2:$C$10,0))*INDEX(Parsed!$I$2:$I$190,(MATCH(A17,Data!$B$2:$B$22,0)-1)*9+MATCH("God",Parsed!$C$2:$C$10,0)),0)+IF(INDEX(Parsed!$K$2:$K$190,(MATCH(B17,Data!$B$2:$B$22,0)-1)*9+MATCH("Politics",Parsed!$C$2:$C$10,0))=INDEX(Parsed!$H$2:$H$190,(MATCH(A17,Data!$B$2:$B$22,0)-1)*9+MATCH("Politics",Parsed!$C$2:$C$10,0)),INDEX(Parsed!$M$2:$M$190,(MATCH(B17,Data!$B$2:$B$22,0)-1)*9+MATCH("Politics",Parsed!$C$2:$C$10,0))*INDEX(Parsed!$I$2:$I$190,(MATCH(A17,Data!$B$2:$B$22,0)-1)*9+MATCH("Politics",Parsed!$C$2:$C$10,0)),0)+IF(INDEX(Parsed!$K$2:$K$190,(MATCH(B17,Data!$B$2:$B$22,0)-1)*9+MATCH("Marriage",Parsed!$C$2:$C$10,0))=INDEX(Parsed!$H$2:$H$190,(MATCH(A17,Data!$B$2:$B$22,0)-1)*9+MATCH("Marriage",Parsed!$C$2:$C$10,0)),INDEX(Parsed!$M$2:$M$190,(MATCH(B17,Data!$B$2:$B$22,0)-1)*9+MATCH("Marriage",Parsed!$C$2:$C$10,0))*INDEX(Parsed!$I$2:$I$190,(MATCH(A17,Data!$B$2:$B$22,0)-1)*9+MATCH("Marriage",Parsed!$C$2:$C$10,0)),0)+IF(INDEX(Parsed!$K$2:$K$190,(MATCH(B17,Data!$B$2:$B$22,0)-1)*9+MATCH("Children",Parsed!$C$2:$C$10,0))=INDEX(Parsed!$H$2:$H$190,(MATCH(A17,Data!$B$2:$B$22,0)-1)*9+MATCH("Children",Parsed!$C$2:$C$10,0)),INDEX(Parsed!$M$2:$M$190,(MATCH(B17,Data!$B$2:$B$22,0)-1)*9+MATCH("Children",Parsed!$C$2:$C$10,0))*INDEX(Parsed!$I$2:$I$190,(MATCH(A17,Data!$B$2:$B$22,0)-1)*9+MATCH("Children",Parsed!$C$2:$C$10,0)),0)+IF(INDEX(Parsed!$K$2:$K$190,(MATCH(B17,Data!$B$2:$B$22,0)-1)*9+MATCH("Ethicity",Parsed!$C$2:$C$10,0))=INDEX(Parsed!$H$2:$H$190,(MATCH(A17,Data!$B$2:$B$22,0)-1)*9+MATCH("Ethicity",Parsed!$C$2:$C$10,0)),INDEX(Parsed!$M$2:$M$190,(MATCH(B17,Data!$B$2:$B$22,0)-1)*9+MATCH("Ethicity",Parsed!$C$2:$C$10,0))*INDEX(Parsed!$I$2:$I$190,(MATCH(A17,Data!$B$2:$B$22,0)-1)*9+MATCH("Ethicity",Parsed!$C$2:$C$10,0)),0)+IF(INDEX(Parsed!$K$2:$K$190,(MATCH(B17,Data!$B$2:$B$22,0)-1)*9+MATCH("Past",Parsed!$C$2:$C$10,0))=INDEX(Parsed!$H$2:$H$190,(MATCH(A17,Data!$B$2:$B$22,0)-1)*9+MATCH("Past",Parsed!$C$2:$C$10,0)),INDEX(Parsed!$M$2:$M$190,(MATCH(B17,Data!$B$2:$B$22,0)-1)*9+MATCH("Past",Parsed!$C$2:$C$10,0))*INDEX(Parsed!$I$2:$I$190,(MATCH(A17,Data!$B$2:$B$22,0)-1)*9+MATCH("Past",Parsed!$C$2:$C$10,0)),0)+IF(INDEX(Parsed!$K$2:$K$190,(MATCH(B17,Data!$B$2:$B$22,0)-1)*9+MATCH("D/S",Parsed!$C$2:$C$10,0))=INDEX(Parsed!$H$2:$H$190,(MATCH(A17,Data!$B$2:$B$22,0)-1)*9+MATCH("D/S",Parsed!$C$2:$C$10,0)),INDEX(Parsed!$M$2:$M$190,(MATCH(B17,Data!$B$2:$B$22,0)-1)*9+MATCH("D/S",Parsed!$C$2:$C$10,0))*INDEX(Parsed!$I$2:$I$190,(MATCH(A17,Data!$B$2:$B$22,0)-1)*9+MATCH("D/S",Parsed!$C$2:$C$10,0)),0)+IF(INDEX(Parsed!$K$2:$K$190,(MATCH(B17,Data!$B$2:$B$22,0)-1)*9+MATCH("True/kind",Parsed!$C$2:$C$10,0))=INDEX(Parsed!$H$2:$H$190,(MATCH(A17,Data!$B$2:$B$22,0)-1)*9+MATCH("True/kind",Parsed!$C$2:$C$10,0)),INDEX(Parsed!$M$2:$M$190,(MATCH(B17,Data!$B$2:$B$22,0)-1)*9+MATCH("True/kind",Parsed!$C$2:$C$10,0))*INDEX(Parsed!$I$2:$I$190,(MATCH(A17,Data!$B$2:$B$22,0)-1)*9+MATCH("True/kind",Parsed!$C$2:$C$10,0)),0)+IF(INDEX(Parsed!$K$2:$K$190,(MATCH(B17,Data!$B$2:$B$22,0)-1)*9+MATCH("Animal",Parsed!$C$2:$C$10,0))=INDEX(Parsed!$H$2:$H$190,(MATCH(A17,Data!$B$2:$B$22,0)-1)*9+MATCH("Animal",Parsed!$C$2:$C$10,0)),INDEX(Parsed!$M$2:$M$190,(MATCH(B17,Data!$B$2:$B$22,0)-1)*9+MATCH("Animal",Parsed!$C$2:$C$10,0))*INDEX(Parsed!$I$2:$I$190,(MATCH(A17,Data!$B$2:$B$22,0)-1)*9+MATCH("Animal",Parsed!$C$2:$C$10,0)),0),0)</x:f>
        <x:v>17.5</x:v>
      </x:c>
      <x:c r="D17" s="11" t="n">
        <x:f>IFERROR(IF(INDEX(Parsed!$K$2:$K$190,(MATCH(A17,Data!$B$2:$B$22,0)-1)*9+MATCH("God",Parsed!$C$2:$C$10,0))=INDEX(Parsed!$H$2:$H$190,(MATCH(B17,Data!$B$2:$B$22,0)-1)*9+MATCH("God",Parsed!$C$2:$C$10,0)),INDEX(Parsed!$M$2:$M$190,(MATCH(A17,Data!$B$2:$B$22,0)-1)*9+MATCH("God",Parsed!$C$2:$C$10,0))*INDEX(Parsed!$I$2:$I$190,(MATCH(B17,Data!$B$2:$B$22,0)-1)*9+MATCH("God",Parsed!$C$2:$C$10,0)),0)+IF(INDEX(Parsed!$K$2:$K$190,(MATCH(A17,Data!$B$2:$B$22,0)-1)*9+MATCH("Politics",Parsed!$C$2:$C$10,0))=INDEX(Parsed!$H$2:$H$190,(MATCH(B17,Data!$B$2:$B$22,0)-1)*9+MATCH("Politics",Parsed!$C$2:$C$10,0)),INDEX(Parsed!$M$2:$M$190,(MATCH(A17,Data!$B$2:$B$22,0)-1)*9+MATCH("Politics",Parsed!$C$2:$C$10,0))*INDEX(Parsed!$I$2:$I$190,(MATCH(B17,Data!$B$2:$B$22,0)-1)*9+MATCH("Politics",Parsed!$C$2:$C$10,0)),0)+IF(INDEX(Parsed!$K$2:$K$190,(MATCH(A17,Data!$B$2:$B$22,0)-1)*9+MATCH("Marriage",Parsed!$C$2:$C$10,0))=INDEX(Parsed!$H$2:$H$190,(MATCH(B17,Data!$B$2:$B$22,0)-1)*9+MATCH("Marriage",Parsed!$C$2:$C$10,0)),INDEX(Parsed!$M$2:$M$190,(MATCH(A17,Data!$B$2:$B$22,0)-1)*9+MATCH("Marriage",Parsed!$C$2:$C$10,0))*INDEX(Parsed!$I$2:$I$190,(MATCH(B17,Data!$B$2:$B$22,0)-1)*9+MATCH("Marriage",Parsed!$C$2:$C$10,0)),0)+IF(INDEX(Parsed!$K$2:$K$190,(MATCH(A17,Data!$B$2:$B$22,0)-1)*9+MATCH("Children",Parsed!$C$2:$C$10,0))=INDEX(Parsed!$H$2:$H$190,(MATCH(B17,Data!$B$2:$B$22,0)-1)*9+MATCH("Children",Parsed!$C$2:$C$10,0)),INDEX(Parsed!$M$2:$M$190,(MATCH(A17,Data!$B$2:$B$22,0)-1)*9+MATCH("Children",Parsed!$C$2:$C$10,0))*INDEX(Parsed!$I$2:$I$190,(MATCH(B17,Data!$B$2:$B$22,0)-1)*9+MATCH("Children",Parsed!$C$2:$C$10,0)),0)+IF(INDEX(Parsed!$K$2:$K$190,(MATCH(A17,Data!$B$2:$B$22,0)-1)*9+MATCH("Ethicity",Parsed!$C$2:$C$10,0))=INDEX(Parsed!$H$2:$H$190,(MATCH(B17,Data!$B$2:$B$22,0)-1)*9+MATCH("Ethicity",Parsed!$C$2:$C$10,0)),INDEX(Parsed!$M$2:$M$190,(MATCH(A17,Data!$B$2:$B$22,0)-1)*9+MATCH("Ethicity",Parsed!$C$2:$C$10,0))*INDEX(Parsed!$I$2:$I$190,(MATCH(B17,Data!$B$2:$B$22,0)-1)*9+MATCH("Ethicity",Parsed!$C$2:$C$10,0)),0)+IF(INDEX(Parsed!$K$2:$K$190,(MATCH(A17,Data!$B$2:$B$22,0)-1)*9+MATCH("Past",Parsed!$C$2:$C$10,0))=INDEX(Parsed!$H$2:$H$190,(MATCH(B17,Data!$B$2:$B$22,0)-1)*9+MATCH("Past",Parsed!$C$2:$C$10,0)),INDEX(Parsed!$M$2:$M$190,(MATCH(A17,Data!$B$2:$B$22,0)-1)*9+MATCH("Past",Parsed!$C$2:$C$10,0))*INDEX(Parsed!$I$2:$I$190,(MATCH(B17,Data!$B$2:$B$22,0)-1)*9+MATCH("Past",Parsed!$C$2:$C$10,0)),0)+IF(INDEX(Parsed!$K$2:$K$190,(MATCH(A17,Data!$B$2:$B$22,0)-1)*9+MATCH("D/S",Parsed!$C$2:$C$10,0))=INDEX(Parsed!$H$2:$H$190,(MATCH(B17,Data!$B$2:$B$22,0)-1)*9+MATCH("D/S",Parsed!$C$2:$C$10,0)),INDEX(Parsed!$M$2:$M$190,(MATCH(A17,Data!$B$2:$B$22,0)-1)*9+MATCH("D/S",Parsed!$C$2:$C$10,0))*INDEX(Parsed!$I$2:$I$190,(MATCH(B17,Data!$B$2:$B$22,0)-1)*9+MATCH("D/S",Parsed!$C$2:$C$10,0)),0)+IF(INDEX(Parsed!$K$2:$K$190,(MATCH(A17,Data!$B$2:$B$22,0)-1)*9+MATCH("True/kind",Parsed!$C$2:$C$10,0))=INDEX(Parsed!$H$2:$H$190,(MATCH(B17,Data!$B$2:$B$22,0)-1)*9+MATCH("True/kind",Parsed!$C$2:$C$10,0)),INDEX(Parsed!$M$2:$M$190,(MATCH(A17,Data!$B$2:$B$22,0)-1)*9+MATCH("True/kind",Parsed!$C$2:$C$10,0))*INDEX(Parsed!$I$2:$I$190,(MATCH(B17,Data!$B$2:$B$22,0)-1)*9+MATCH("True/kind",Parsed!$C$2:$C$10,0)),0)+IF(INDEX(Parsed!$K$2:$K$190,(MATCH(A17,Data!$B$2:$B$22,0)-1)*9+MATCH("Animal",Parsed!$C$2:$C$10,0))=INDEX(Parsed!$H$2:$H$190,(MATCH(B17,Data!$B$2:$B$22,0)-1)*9+MATCH("Animal",Parsed!$C$2:$C$10,0)),INDEX(Parsed!$M$2:$M$190,(MATCH(A17,Data!$B$2:$B$22,0)-1)*9+MATCH("Animal",Parsed!$C$2:$C$10,0))*INDEX(Parsed!$I$2:$I$190,(MATCH(B17,Data!$B$2:$B$22,0)-1)*9+MATCH("Animal",Parsed!$C$2:$C$10,0)),0),0)</x:f>
        <x:v>15</x:v>
      </x:c>
      <x:c r="E17" s="11" t="n">
        <x:f>SQRT(C17*D17)</x:f>
        <x:v>16.20185174601965</x:v>
      </x:c>
    </x:row>
    <x:row r="18">
      <x:c r="A18" t="str">
        <x:v>ethan</x:v>
      </x:c>
      <x:c r="B18" t="str">
        <x:v>edith</x:v>
      </x:c>
      <x:c r="C18" s="11" t="n">
        <x:f>IFERROR(IF(INDEX(Parsed!$K$2:$K$190,(MATCH(B18,Data!$B$2:$B$22,0)-1)*9+MATCH("God",Parsed!$C$2:$C$10,0))=INDEX(Parsed!$H$2:$H$190,(MATCH(A18,Data!$B$2:$B$22,0)-1)*9+MATCH("God",Parsed!$C$2:$C$10,0)),INDEX(Parsed!$M$2:$M$190,(MATCH(B18,Data!$B$2:$B$22,0)-1)*9+MATCH("God",Parsed!$C$2:$C$10,0))*INDEX(Parsed!$I$2:$I$190,(MATCH(A18,Data!$B$2:$B$22,0)-1)*9+MATCH("God",Parsed!$C$2:$C$10,0)),0)+IF(INDEX(Parsed!$K$2:$K$190,(MATCH(B18,Data!$B$2:$B$22,0)-1)*9+MATCH("Politics",Parsed!$C$2:$C$10,0))=INDEX(Parsed!$H$2:$H$190,(MATCH(A18,Data!$B$2:$B$22,0)-1)*9+MATCH("Politics",Parsed!$C$2:$C$10,0)),INDEX(Parsed!$M$2:$M$190,(MATCH(B18,Data!$B$2:$B$22,0)-1)*9+MATCH("Politics",Parsed!$C$2:$C$10,0))*INDEX(Parsed!$I$2:$I$190,(MATCH(A18,Data!$B$2:$B$22,0)-1)*9+MATCH("Politics",Parsed!$C$2:$C$10,0)),0)+IF(INDEX(Parsed!$K$2:$K$190,(MATCH(B18,Data!$B$2:$B$22,0)-1)*9+MATCH("Marriage",Parsed!$C$2:$C$10,0))=INDEX(Parsed!$H$2:$H$190,(MATCH(A18,Data!$B$2:$B$22,0)-1)*9+MATCH("Marriage",Parsed!$C$2:$C$10,0)),INDEX(Parsed!$M$2:$M$190,(MATCH(B18,Data!$B$2:$B$22,0)-1)*9+MATCH("Marriage",Parsed!$C$2:$C$10,0))*INDEX(Parsed!$I$2:$I$190,(MATCH(A18,Data!$B$2:$B$22,0)-1)*9+MATCH("Marriage",Parsed!$C$2:$C$10,0)),0)+IF(INDEX(Parsed!$K$2:$K$190,(MATCH(B18,Data!$B$2:$B$22,0)-1)*9+MATCH("Children",Parsed!$C$2:$C$10,0))=INDEX(Parsed!$H$2:$H$190,(MATCH(A18,Data!$B$2:$B$22,0)-1)*9+MATCH("Children",Parsed!$C$2:$C$10,0)),INDEX(Parsed!$M$2:$M$190,(MATCH(B18,Data!$B$2:$B$22,0)-1)*9+MATCH("Children",Parsed!$C$2:$C$10,0))*INDEX(Parsed!$I$2:$I$190,(MATCH(A18,Data!$B$2:$B$22,0)-1)*9+MATCH("Children",Parsed!$C$2:$C$10,0)),0)+IF(INDEX(Parsed!$K$2:$K$190,(MATCH(B18,Data!$B$2:$B$22,0)-1)*9+MATCH("Ethicity",Parsed!$C$2:$C$10,0))=INDEX(Parsed!$H$2:$H$190,(MATCH(A18,Data!$B$2:$B$22,0)-1)*9+MATCH("Ethicity",Parsed!$C$2:$C$10,0)),INDEX(Parsed!$M$2:$M$190,(MATCH(B18,Data!$B$2:$B$22,0)-1)*9+MATCH("Ethicity",Parsed!$C$2:$C$10,0))*INDEX(Parsed!$I$2:$I$190,(MATCH(A18,Data!$B$2:$B$22,0)-1)*9+MATCH("Ethicity",Parsed!$C$2:$C$10,0)),0)+IF(INDEX(Parsed!$K$2:$K$190,(MATCH(B18,Data!$B$2:$B$22,0)-1)*9+MATCH("Past",Parsed!$C$2:$C$10,0))=INDEX(Parsed!$H$2:$H$190,(MATCH(A18,Data!$B$2:$B$22,0)-1)*9+MATCH("Past",Parsed!$C$2:$C$10,0)),INDEX(Parsed!$M$2:$M$190,(MATCH(B18,Data!$B$2:$B$22,0)-1)*9+MATCH("Past",Parsed!$C$2:$C$10,0))*INDEX(Parsed!$I$2:$I$190,(MATCH(A18,Data!$B$2:$B$22,0)-1)*9+MATCH("Past",Parsed!$C$2:$C$10,0)),0)+IF(INDEX(Parsed!$K$2:$K$190,(MATCH(B18,Data!$B$2:$B$22,0)-1)*9+MATCH("D/S",Parsed!$C$2:$C$10,0))=INDEX(Parsed!$H$2:$H$190,(MATCH(A18,Data!$B$2:$B$22,0)-1)*9+MATCH("D/S",Parsed!$C$2:$C$10,0)),INDEX(Parsed!$M$2:$M$190,(MATCH(B18,Data!$B$2:$B$22,0)-1)*9+MATCH("D/S",Parsed!$C$2:$C$10,0))*INDEX(Parsed!$I$2:$I$190,(MATCH(A18,Data!$B$2:$B$22,0)-1)*9+MATCH("D/S",Parsed!$C$2:$C$10,0)),0)+IF(INDEX(Parsed!$K$2:$K$190,(MATCH(B18,Data!$B$2:$B$22,0)-1)*9+MATCH("True/kind",Parsed!$C$2:$C$10,0))=INDEX(Parsed!$H$2:$H$190,(MATCH(A18,Data!$B$2:$B$22,0)-1)*9+MATCH("True/kind",Parsed!$C$2:$C$10,0)),INDEX(Parsed!$M$2:$M$190,(MATCH(B18,Data!$B$2:$B$22,0)-1)*9+MATCH("True/kind",Parsed!$C$2:$C$10,0))*INDEX(Parsed!$I$2:$I$190,(MATCH(A18,Data!$B$2:$B$22,0)-1)*9+MATCH("True/kind",Parsed!$C$2:$C$10,0)),0)+IF(INDEX(Parsed!$K$2:$K$190,(MATCH(B18,Data!$B$2:$B$22,0)-1)*9+MATCH("Animal",Parsed!$C$2:$C$10,0))=INDEX(Parsed!$H$2:$H$190,(MATCH(A18,Data!$B$2:$B$22,0)-1)*9+MATCH("Animal",Parsed!$C$2:$C$10,0)),INDEX(Parsed!$M$2:$M$190,(MATCH(B18,Data!$B$2:$B$22,0)-1)*9+MATCH("Animal",Parsed!$C$2:$C$10,0))*INDEX(Parsed!$I$2:$I$190,(MATCH(A18,Data!$B$2:$B$22,0)-1)*9+MATCH("Animal",Parsed!$C$2:$C$10,0)),0),0)</x:f>
        <x:v>61.25</x:v>
      </x:c>
      <x:c r="D18" s="11" t="n">
        <x:f>IFERROR(IF(INDEX(Parsed!$K$2:$K$190,(MATCH(A18,Data!$B$2:$B$22,0)-1)*9+MATCH("God",Parsed!$C$2:$C$10,0))=INDEX(Parsed!$H$2:$H$190,(MATCH(B18,Data!$B$2:$B$22,0)-1)*9+MATCH("God",Parsed!$C$2:$C$10,0)),INDEX(Parsed!$M$2:$M$190,(MATCH(A18,Data!$B$2:$B$22,0)-1)*9+MATCH("God",Parsed!$C$2:$C$10,0))*INDEX(Parsed!$I$2:$I$190,(MATCH(B18,Data!$B$2:$B$22,0)-1)*9+MATCH("God",Parsed!$C$2:$C$10,0)),0)+IF(INDEX(Parsed!$K$2:$K$190,(MATCH(A18,Data!$B$2:$B$22,0)-1)*9+MATCH("Politics",Parsed!$C$2:$C$10,0))=INDEX(Parsed!$H$2:$H$190,(MATCH(B18,Data!$B$2:$B$22,0)-1)*9+MATCH("Politics",Parsed!$C$2:$C$10,0)),INDEX(Parsed!$M$2:$M$190,(MATCH(A18,Data!$B$2:$B$22,0)-1)*9+MATCH("Politics",Parsed!$C$2:$C$10,0))*INDEX(Parsed!$I$2:$I$190,(MATCH(B18,Data!$B$2:$B$22,0)-1)*9+MATCH("Politics",Parsed!$C$2:$C$10,0)),0)+IF(INDEX(Parsed!$K$2:$K$190,(MATCH(A18,Data!$B$2:$B$22,0)-1)*9+MATCH("Marriage",Parsed!$C$2:$C$10,0))=INDEX(Parsed!$H$2:$H$190,(MATCH(B18,Data!$B$2:$B$22,0)-1)*9+MATCH("Marriage",Parsed!$C$2:$C$10,0)),INDEX(Parsed!$M$2:$M$190,(MATCH(A18,Data!$B$2:$B$22,0)-1)*9+MATCH("Marriage",Parsed!$C$2:$C$10,0))*INDEX(Parsed!$I$2:$I$190,(MATCH(B18,Data!$B$2:$B$22,0)-1)*9+MATCH("Marriage",Parsed!$C$2:$C$10,0)),0)+IF(INDEX(Parsed!$K$2:$K$190,(MATCH(A18,Data!$B$2:$B$22,0)-1)*9+MATCH("Children",Parsed!$C$2:$C$10,0))=INDEX(Parsed!$H$2:$H$190,(MATCH(B18,Data!$B$2:$B$22,0)-1)*9+MATCH("Children",Parsed!$C$2:$C$10,0)),INDEX(Parsed!$M$2:$M$190,(MATCH(A18,Data!$B$2:$B$22,0)-1)*9+MATCH("Children",Parsed!$C$2:$C$10,0))*INDEX(Parsed!$I$2:$I$190,(MATCH(B18,Data!$B$2:$B$22,0)-1)*9+MATCH("Children",Parsed!$C$2:$C$10,0)),0)+IF(INDEX(Parsed!$K$2:$K$190,(MATCH(A18,Data!$B$2:$B$22,0)-1)*9+MATCH("Ethicity",Parsed!$C$2:$C$10,0))=INDEX(Parsed!$H$2:$H$190,(MATCH(B18,Data!$B$2:$B$22,0)-1)*9+MATCH("Ethicity",Parsed!$C$2:$C$10,0)),INDEX(Parsed!$M$2:$M$190,(MATCH(A18,Data!$B$2:$B$22,0)-1)*9+MATCH("Ethicity",Parsed!$C$2:$C$10,0))*INDEX(Parsed!$I$2:$I$190,(MATCH(B18,Data!$B$2:$B$22,0)-1)*9+MATCH("Ethicity",Parsed!$C$2:$C$10,0)),0)+IF(INDEX(Parsed!$K$2:$K$190,(MATCH(A18,Data!$B$2:$B$22,0)-1)*9+MATCH("Past",Parsed!$C$2:$C$10,0))=INDEX(Parsed!$H$2:$H$190,(MATCH(B18,Data!$B$2:$B$22,0)-1)*9+MATCH("Past",Parsed!$C$2:$C$10,0)),INDEX(Parsed!$M$2:$M$190,(MATCH(A18,Data!$B$2:$B$22,0)-1)*9+MATCH("Past",Parsed!$C$2:$C$10,0))*INDEX(Parsed!$I$2:$I$190,(MATCH(B18,Data!$B$2:$B$22,0)-1)*9+MATCH("Past",Parsed!$C$2:$C$10,0)),0)+IF(INDEX(Parsed!$K$2:$K$190,(MATCH(A18,Data!$B$2:$B$22,0)-1)*9+MATCH("D/S",Parsed!$C$2:$C$10,0))=INDEX(Parsed!$H$2:$H$190,(MATCH(B18,Data!$B$2:$B$22,0)-1)*9+MATCH("D/S",Parsed!$C$2:$C$10,0)),INDEX(Parsed!$M$2:$M$190,(MATCH(A18,Data!$B$2:$B$22,0)-1)*9+MATCH("D/S",Parsed!$C$2:$C$10,0))*INDEX(Parsed!$I$2:$I$190,(MATCH(B18,Data!$B$2:$B$22,0)-1)*9+MATCH("D/S",Parsed!$C$2:$C$10,0)),0)+IF(INDEX(Parsed!$K$2:$K$190,(MATCH(A18,Data!$B$2:$B$22,0)-1)*9+MATCH("True/kind",Parsed!$C$2:$C$10,0))=INDEX(Parsed!$H$2:$H$190,(MATCH(B18,Data!$B$2:$B$22,0)-1)*9+MATCH("True/kind",Parsed!$C$2:$C$10,0)),INDEX(Parsed!$M$2:$M$190,(MATCH(A18,Data!$B$2:$B$22,0)-1)*9+MATCH("True/kind",Parsed!$C$2:$C$10,0))*INDEX(Parsed!$I$2:$I$190,(MATCH(B18,Data!$B$2:$B$22,0)-1)*9+MATCH("True/kind",Parsed!$C$2:$C$10,0)),0)+IF(INDEX(Parsed!$K$2:$K$190,(MATCH(A18,Data!$B$2:$B$22,0)-1)*9+MATCH("Animal",Parsed!$C$2:$C$10,0))=INDEX(Parsed!$H$2:$H$190,(MATCH(B18,Data!$B$2:$B$22,0)-1)*9+MATCH("Animal",Parsed!$C$2:$C$10,0)),INDEX(Parsed!$M$2:$M$190,(MATCH(A18,Data!$B$2:$B$22,0)-1)*9+MATCH("Animal",Parsed!$C$2:$C$10,0))*INDEX(Parsed!$I$2:$I$190,(MATCH(B18,Data!$B$2:$B$22,0)-1)*9+MATCH("Animal",Parsed!$C$2:$C$10,0)),0),0)</x:f>
        <x:v>33.75</x:v>
      </x:c>
      <x:c r="E18" s="11" t="n">
        <x:f>SQRT(C18*D18)</x:f>
        <x:v>45.46633369868303</x:v>
      </x:c>
    </x:row>
    <x:row r="19">
      <x:c r="A19" t="str">
        <x:v>ethan</x:v>
      </x:c>
      <x:c r="B19" t="str">
        <x:v>sophiah</x:v>
      </x:c>
      <x:c r="C19" s="11" t="n">
        <x:f>IFERROR(IF(INDEX(Parsed!$K$2:$K$190,(MATCH(B19,Data!$B$2:$B$22,0)-1)*9+MATCH("God",Parsed!$C$2:$C$10,0))=INDEX(Parsed!$H$2:$H$190,(MATCH(A19,Data!$B$2:$B$22,0)-1)*9+MATCH("God",Parsed!$C$2:$C$10,0)),INDEX(Parsed!$M$2:$M$190,(MATCH(B19,Data!$B$2:$B$22,0)-1)*9+MATCH("God",Parsed!$C$2:$C$10,0))*INDEX(Parsed!$I$2:$I$190,(MATCH(A19,Data!$B$2:$B$22,0)-1)*9+MATCH("God",Parsed!$C$2:$C$10,0)),0)+IF(INDEX(Parsed!$K$2:$K$190,(MATCH(B19,Data!$B$2:$B$22,0)-1)*9+MATCH("Politics",Parsed!$C$2:$C$10,0))=INDEX(Parsed!$H$2:$H$190,(MATCH(A19,Data!$B$2:$B$22,0)-1)*9+MATCH("Politics",Parsed!$C$2:$C$10,0)),INDEX(Parsed!$M$2:$M$190,(MATCH(B19,Data!$B$2:$B$22,0)-1)*9+MATCH("Politics",Parsed!$C$2:$C$10,0))*INDEX(Parsed!$I$2:$I$190,(MATCH(A19,Data!$B$2:$B$22,0)-1)*9+MATCH("Politics",Parsed!$C$2:$C$10,0)),0)+IF(INDEX(Parsed!$K$2:$K$190,(MATCH(B19,Data!$B$2:$B$22,0)-1)*9+MATCH("Marriage",Parsed!$C$2:$C$10,0))=INDEX(Parsed!$H$2:$H$190,(MATCH(A19,Data!$B$2:$B$22,0)-1)*9+MATCH("Marriage",Parsed!$C$2:$C$10,0)),INDEX(Parsed!$M$2:$M$190,(MATCH(B19,Data!$B$2:$B$22,0)-1)*9+MATCH("Marriage",Parsed!$C$2:$C$10,0))*INDEX(Parsed!$I$2:$I$190,(MATCH(A19,Data!$B$2:$B$22,0)-1)*9+MATCH("Marriage",Parsed!$C$2:$C$10,0)),0)+IF(INDEX(Parsed!$K$2:$K$190,(MATCH(B19,Data!$B$2:$B$22,0)-1)*9+MATCH("Children",Parsed!$C$2:$C$10,0))=INDEX(Parsed!$H$2:$H$190,(MATCH(A19,Data!$B$2:$B$22,0)-1)*9+MATCH("Children",Parsed!$C$2:$C$10,0)),INDEX(Parsed!$M$2:$M$190,(MATCH(B19,Data!$B$2:$B$22,0)-1)*9+MATCH("Children",Parsed!$C$2:$C$10,0))*INDEX(Parsed!$I$2:$I$190,(MATCH(A19,Data!$B$2:$B$22,0)-1)*9+MATCH("Children",Parsed!$C$2:$C$10,0)),0)+IF(INDEX(Parsed!$K$2:$K$190,(MATCH(B19,Data!$B$2:$B$22,0)-1)*9+MATCH("Ethicity",Parsed!$C$2:$C$10,0))=INDEX(Parsed!$H$2:$H$190,(MATCH(A19,Data!$B$2:$B$22,0)-1)*9+MATCH("Ethicity",Parsed!$C$2:$C$10,0)),INDEX(Parsed!$M$2:$M$190,(MATCH(B19,Data!$B$2:$B$22,0)-1)*9+MATCH("Ethicity",Parsed!$C$2:$C$10,0))*INDEX(Parsed!$I$2:$I$190,(MATCH(A19,Data!$B$2:$B$22,0)-1)*9+MATCH("Ethicity",Parsed!$C$2:$C$10,0)),0)+IF(INDEX(Parsed!$K$2:$K$190,(MATCH(B19,Data!$B$2:$B$22,0)-1)*9+MATCH("Past",Parsed!$C$2:$C$10,0))=INDEX(Parsed!$H$2:$H$190,(MATCH(A19,Data!$B$2:$B$22,0)-1)*9+MATCH("Past",Parsed!$C$2:$C$10,0)),INDEX(Parsed!$M$2:$M$190,(MATCH(B19,Data!$B$2:$B$22,0)-1)*9+MATCH("Past",Parsed!$C$2:$C$10,0))*INDEX(Parsed!$I$2:$I$190,(MATCH(A19,Data!$B$2:$B$22,0)-1)*9+MATCH("Past",Parsed!$C$2:$C$10,0)),0)+IF(INDEX(Parsed!$K$2:$K$190,(MATCH(B19,Data!$B$2:$B$22,0)-1)*9+MATCH("D/S",Parsed!$C$2:$C$10,0))=INDEX(Parsed!$H$2:$H$190,(MATCH(A19,Data!$B$2:$B$22,0)-1)*9+MATCH("D/S",Parsed!$C$2:$C$10,0)),INDEX(Parsed!$M$2:$M$190,(MATCH(B19,Data!$B$2:$B$22,0)-1)*9+MATCH("D/S",Parsed!$C$2:$C$10,0))*INDEX(Parsed!$I$2:$I$190,(MATCH(A19,Data!$B$2:$B$22,0)-1)*9+MATCH("D/S",Parsed!$C$2:$C$10,0)),0)+IF(INDEX(Parsed!$K$2:$K$190,(MATCH(B19,Data!$B$2:$B$22,0)-1)*9+MATCH("True/kind",Parsed!$C$2:$C$10,0))=INDEX(Parsed!$H$2:$H$190,(MATCH(A19,Data!$B$2:$B$22,0)-1)*9+MATCH("True/kind",Parsed!$C$2:$C$10,0)),INDEX(Parsed!$M$2:$M$190,(MATCH(B19,Data!$B$2:$B$22,0)-1)*9+MATCH("True/kind",Parsed!$C$2:$C$10,0))*INDEX(Parsed!$I$2:$I$190,(MATCH(A19,Data!$B$2:$B$22,0)-1)*9+MATCH("True/kind",Parsed!$C$2:$C$10,0)),0)+IF(INDEX(Parsed!$K$2:$K$190,(MATCH(B19,Data!$B$2:$B$22,0)-1)*9+MATCH("Animal",Parsed!$C$2:$C$10,0))=INDEX(Parsed!$H$2:$H$190,(MATCH(A19,Data!$B$2:$B$22,0)-1)*9+MATCH("Animal",Parsed!$C$2:$C$10,0)),INDEX(Parsed!$M$2:$M$190,(MATCH(B19,Data!$B$2:$B$22,0)-1)*9+MATCH("Animal",Parsed!$C$2:$C$10,0))*INDEX(Parsed!$I$2:$I$190,(MATCH(A19,Data!$B$2:$B$22,0)-1)*9+MATCH("Animal",Parsed!$C$2:$C$10,0)),0),0)</x:f>
        <x:v>66.25</x:v>
      </x:c>
      <x:c r="D19" s="11" t="n">
        <x:f>IFERROR(IF(INDEX(Parsed!$K$2:$K$190,(MATCH(A19,Data!$B$2:$B$22,0)-1)*9+MATCH("God",Parsed!$C$2:$C$10,0))=INDEX(Parsed!$H$2:$H$190,(MATCH(B19,Data!$B$2:$B$22,0)-1)*9+MATCH("God",Parsed!$C$2:$C$10,0)),INDEX(Parsed!$M$2:$M$190,(MATCH(A19,Data!$B$2:$B$22,0)-1)*9+MATCH("God",Parsed!$C$2:$C$10,0))*INDEX(Parsed!$I$2:$I$190,(MATCH(B19,Data!$B$2:$B$22,0)-1)*9+MATCH("God",Parsed!$C$2:$C$10,0)),0)+IF(INDEX(Parsed!$K$2:$K$190,(MATCH(A19,Data!$B$2:$B$22,0)-1)*9+MATCH("Politics",Parsed!$C$2:$C$10,0))=INDEX(Parsed!$H$2:$H$190,(MATCH(B19,Data!$B$2:$B$22,0)-1)*9+MATCH("Politics",Parsed!$C$2:$C$10,0)),INDEX(Parsed!$M$2:$M$190,(MATCH(A19,Data!$B$2:$B$22,0)-1)*9+MATCH("Politics",Parsed!$C$2:$C$10,0))*INDEX(Parsed!$I$2:$I$190,(MATCH(B19,Data!$B$2:$B$22,0)-1)*9+MATCH("Politics",Parsed!$C$2:$C$10,0)),0)+IF(INDEX(Parsed!$K$2:$K$190,(MATCH(A19,Data!$B$2:$B$22,0)-1)*9+MATCH("Marriage",Parsed!$C$2:$C$10,0))=INDEX(Parsed!$H$2:$H$190,(MATCH(B19,Data!$B$2:$B$22,0)-1)*9+MATCH("Marriage",Parsed!$C$2:$C$10,0)),INDEX(Parsed!$M$2:$M$190,(MATCH(A19,Data!$B$2:$B$22,0)-1)*9+MATCH("Marriage",Parsed!$C$2:$C$10,0))*INDEX(Parsed!$I$2:$I$190,(MATCH(B19,Data!$B$2:$B$22,0)-1)*9+MATCH("Marriage",Parsed!$C$2:$C$10,0)),0)+IF(INDEX(Parsed!$K$2:$K$190,(MATCH(A19,Data!$B$2:$B$22,0)-1)*9+MATCH("Children",Parsed!$C$2:$C$10,0))=INDEX(Parsed!$H$2:$H$190,(MATCH(B19,Data!$B$2:$B$22,0)-1)*9+MATCH("Children",Parsed!$C$2:$C$10,0)),INDEX(Parsed!$M$2:$M$190,(MATCH(A19,Data!$B$2:$B$22,0)-1)*9+MATCH("Children",Parsed!$C$2:$C$10,0))*INDEX(Parsed!$I$2:$I$190,(MATCH(B19,Data!$B$2:$B$22,0)-1)*9+MATCH("Children",Parsed!$C$2:$C$10,0)),0)+IF(INDEX(Parsed!$K$2:$K$190,(MATCH(A19,Data!$B$2:$B$22,0)-1)*9+MATCH("Ethicity",Parsed!$C$2:$C$10,0))=INDEX(Parsed!$H$2:$H$190,(MATCH(B19,Data!$B$2:$B$22,0)-1)*9+MATCH("Ethicity",Parsed!$C$2:$C$10,0)),INDEX(Parsed!$M$2:$M$190,(MATCH(A19,Data!$B$2:$B$22,0)-1)*9+MATCH("Ethicity",Parsed!$C$2:$C$10,0))*INDEX(Parsed!$I$2:$I$190,(MATCH(B19,Data!$B$2:$B$22,0)-1)*9+MATCH("Ethicity",Parsed!$C$2:$C$10,0)),0)+IF(INDEX(Parsed!$K$2:$K$190,(MATCH(A19,Data!$B$2:$B$22,0)-1)*9+MATCH("Past",Parsed!$C$2:$C$10,0))=INDEX(Parsed!$H$2:$H$190,(MATCH(B19,Data!$B$2:$B$22,0)-1)*9+MATCH("Past",Parsed!$C$2:$C$10,0)),INDEX(Parsed!$M$2:$M$190,(MATCH(A19,Data!$B$2:$B$22,0)-1)*9+MATCH("Past",Parsed!$C$2:$C$10,0))*INDEX(Parsed!$I$2:$I$190,(MATCH(B19,Data!$B$2:$B$22,0)-1)*9+MATCH("Past",Parsed!$C$2:$C$10,0)),0)+IF(INDEX(Parsed!$K$2:$K$190,(MATCH(A19,Data!$B$2:$B$22,0)-1)*9+MATCH("D/S",Parsed!$C$2:$C$10,0))=INDEX(Parsed!$H$2:$H$190,(MATCH(B19,Data!$B$2:$B$22,0)-1)*9+MATCH("D/S",Parsed!$C$2:$C$10,0)),INDEX(Parsed!$M$2:$M$190,(MATCH(A19,Data!$B$2:$B$22,0)-1)*9+MATCH("D/S",Parsed!$C$2:$C$10,0))*INDEX(Parsed!$I$2:$I$190,(MATCH(B19,Data!$B$2:$B$22,0)-1)*9+MATCH("D/S",Parsed!$C$2:$C$10,0)),0)+IF(INDEX(Parsed!$K$2:$K$190,(MATCH(A19,Data!$B$2:$B$22,0)-1)*9+MATCH("True/kind",Parsed!$C$2:$C$10,0))=INDEX(Parsed!$H$2:$H$190,(MATCH(B19,Data!$B$2:$B$22,0)-1)*9+MATCH("True/kind",Parsed!$C$2:$C$10,0)),INDEX(Parsed!$M$2:$M$190,(MATCH(A19,Data!$B$2:$B$22,0)-1)*9+MATCH("True/kind",Parsed!$C$2:$C$10,0))*INDEX(Parsed!$I$2:$I$190,(MATCH(B19,Data!$B$2:$B$22,0)-1)*9+MATCH("True/kind",Parsed!$C$2:$C$10,0)),0)+IF(INDEX(Parsed!$K$2:$K$190,(MATCH(A19,Data!$B$2:$B$22,0)-1)*9+MATCH("Animal",Parsed!$C$2:$C$10,0))=INDEX(Parsed!$H$2:$H$190,(MATCH(B19,Data!$B$2:$B$22,0)-1)*9+MATCH("Animal",Parsed!$C$2:$C$10,0)),INDEX(Parsed!$M$2:$M$190,(MATCH(A19,Data!$B$2:$B$22,0)-1)*9+MATCH("Animal",Parsed!$C$2:$C$10,0))*INDEX(Parsed!$I$2:$I$190,(MATCH(B19,Data!$B$2:$B$22,0)-1)*9+MATCH("Animal",Parsed!$C$2:$C$10,0)),0),0)</x:f>
        <x:v>76.25</x:v>
      </x:c>
      <x:c r="E19" s="11" t="n">
        <x:f>SQRT(C19*D19)</x:f>
        <x:v>71.0743448791475</x:v>
      </x:c>
    </x:row>
    <x:row r="20">
      <x:c r="A20" t="str">
        <x:v>ethan</x:v>
      </x:c>
      <x:c r="B20" t="str">
        <x:v>angela</x:v>
      </x:c>
      <x:c r="C20" s="11" t="n">
        <x:f>IFERROR(IF(INDEX(Parsed!$K$2:$K$190,(MATCH(B20,Data!$B$2:$B$22,0)-1)*9+MATCH("God",Parsed!$C$2:$C$10,0))=INDEX(Parsed!$H$2:$H$190,(MATCH(A20,Data!$B$2:$B$22,0)-1)*9+MATCH("God",Parsed!$C$2:$C$10,0)),INDEX(Parsed!$M$2:$M$190,(MATCH(B20,Data!$B$2:$B$22,0)-1)*9+MATCH("God",Parsed!$C$2:$C$10,0))*INDEX(Parsed!$I$2:$I$190,(MATCH(A20,Data!$B$2:$B$22,0)-1)*9+MATCH("God",Parsed!$C$2:$C$10,0)),0)+IF(INDEX(Parsed!$K$2:$K$190,(MATCH(B20,Data!$B$2:$B$22,0)-1)*9+MATCH("Politics",Parsed!$C$2:$C$10,0))=INDEX(Parsed!$H$2:$H$190,(MATCH(A20,Data!$B$2:$B$22,0)-1)*9+MATCH("Politics",Parsed!$C$2:$C$10,0)),INDEX(Parsed!$M$2:$M$190,(MATCH(B20,Data!$B$2:$B$22,0)-1)*9+MATCH("Politics",Parsed!$C$2:$C$10,0))*INDEX(Parsed!$I$2:$I$190,(MATCH(A20,Data!$B$2:$B$22,0)-1)*9+MATCH("Politics",Parsed!$C$2:$C$10,0)),0)+IF(INDEX(Parsed!$K$2:$K$190,(MATCH(B20,Data!$B$2:$B$22,0)-1)*9+MATCH("Marriage",Parsed!$C$2:$C$10,0))=INDEX(Parsed!$H$2:$H$190,(MATCH(A20,Data!$B$2:$B$22,0)-1)*9+MATCH("Marriage",Parsed!$C$2:$C$10,0)),INDEX(Parsed!$M$2:$M$190,(MATCH(B20,Data!$B$2:$B$22,0)-1)*9+MATCH("Marriage",Parsed!$C$2:$C$10,0))*INDEX(Parsed!$I$2:$I$190,(MATCH(A20,Data!$B$2:$B$22,0)-1)*9+MATCH("Marriage",Parsed!$C$2:$C$10,0)),0)+IF(INDEX(Parsed!$K$2:$K$190,(MATCH(B20,Data!$B$2:$B$22,0)-1)*9+MATCH("Children",Parsed!$C$2:$C$10,0))=INDEX(Parsed!$H$2:$H$190,(MATCH(A20,Data!$B$2:$B$22,0)-1)*9+MATCH("Children",Parsed!$C$2:$C$10,0)),INDEX(Parsed!$M$2:$M$190,(MATCH(B20,Data!$B$2:$B$22,0)-1)*9+MATCH("Children",Parsed!$C$2:$C$10,0))*INDEX(Parsed!$I$2:$I$190,(MATCH(A20,Data!$B$2:$B$22,0)-1)*9+MATCH("Children",Parsed!$C$2:$C$10,0)),0)+IF(INDEX(Parsed!$K$2:$K$190,(MATCH(B20,Data!$B$2:$B$22,0)-1)*9+MATCH("Ethicity",Parsed!$C$2:$C$10,0))=INDEX(Parsed!$H$2:$H$190,(MATCH(A20,Data!$B$2:$B$22,0)-1)*9+MATCH("Ethicity",Parsed!$C$2:$C$10,0)),INDEX(Parsed!$M$2:$M$190,(MATCH(B20,Data!$B$2:$B$22,0)-1)*9+MATCH("Ethicity",Parsed!$C$2:$C$10,0))*INDEX(Parsed!$I$2:$I$190,(MATCH(A20,Data!$B$2:$B$22,0)-1)*9+MATCH("Ethicity",Parsed!$C$2:$C$10,0)),0)+IF(INDEX(Parsed!$K$2:$K$190,(MATCH(B20,Data!$B$2:$B$22,0)-1)*9+MATCH("Past",Parsed!$C$2:$C$10,0))=INDEX(Parsed!$H$2:$H$190,(MATCH(A20,Data!$B$2:$B$22,0)-1)*9+MATCH("Past",Parsed!$C$2:$C$10,0)),INDEX(Parsed!$M$2:$M$190,(MATCH(B20,Data!$B$2:$B$22,0)-1)*9+MATCH("Past",Parsed!$C$2:$C$10,0))*INDEX(Parsed!$I$2:$I$190,(MATCH(A20,Data!$B$2:$B$22,0)-1)*9+MATCH("Past",Parsed!$C$2:$C$10,0)),0)+IF(INDEX(Parsed!$K$2:$K$190,(MATCH(B20,Data!$B$2:$B$22,0)-1)*9+MATCH("D/S",Parsed!$C$2:$C$10,0))=INDEX(Parsed!$H$2:$H$190,(MATCH(A20,Data!$B$2:$B$22,0)-1)*9+MATCH("D/S",Parsed!$C$2:$C$10,0)),INDEX(Parsed!$M$2:$M$190,(MATCH(B20,Data!$B$2:$B$22,0)-1)*9+MATCH("D/S",Parsed!$C$2:$C$10,0))*INDEX(Parsed!$I$2:$I$190,(MATCH(A20,Data!$B$2:$B$22,0)-1)*9+MATCH("D/S",Parsed!$C$2:$C$10,0)),0)+IF(INDEX(Parsed!$K$2:$K$190,(MATCH(B20,Data!$B$2:$B$22,0)-1)*9+MATCH("True/kind",Parsed!$C$2:$C$10,0))=INDEX(Parsed!$H$2:$H$190,(MATCH(A20,Data!$B$2:$B$22,0)-1)*9+MATCH("True/kind",Parsed!$C$2:$C$10,0)),INDEX(Parsed!$M$2:$M$190,(MATCH(B20,Data!$B$2:$B$22,0)-1)*9+MATCH("True/kind",Parsed!$C$2:$C$10,0))*INDEX(Parsed!$I$2:$I$190,(MATCH(A20,Data!$B$2:$B$22,0)-1)*9+MATCH("True/kind",Parsed!$C$2:$C$10,0)),0)+IF(INDEX(Parsed!$K$2:$K$190,(MATCH(B20,Data!$B$2:$B$22,0)-1)*9+MATCH("Animal",Parsed!$C$2:$C$10,0))=INDEX(Parsed!$H$2:$H$190,(MATCH(A20,Data!$B$2:$B$22,0)-1)*9+MATCH("Animal",Parsed!$C$2:$C$10,0)),INDEX(Parsed!$M$2:$M$190,(MATCH(B20,Data!$B$2:$B$22,0)-1)*9+MATCH("Animal",Parsed!$C$2:$C$10,0))*INDEX(Parsed!$I$2:$I$190,(MATCH(A20,Data!$B$2:$B$22,0)-1)*9+MATCH("Animal",Parsed!$C$2:$C$10,0)),0),0)</x:f>
        <x:v>71.25</x:v>
      </x:c>
      <x:c r="D20" s="11" t="n">
        <x:f>IFERROR(IF(INDEX(Parsed!$K$2:$K$190,(MATCH(A20,Data!$B$2:$B$22,0)-1)*9+MATCH("God",Parsed!$C$2:$C$10,0))=INDEX(Parsed!$H$2:$H$190,(MATCH(B20,Data!$B$2:$B$22,0)-1)*9+MATCH("God",Parsed!$C$2:$C$10,0)),INDEX(Parsed!$M$2:$M$190,(MATCH(A20,Data!$B$2:$B$22,0)-1)*9+MATCH("God",Parsed!$C$2:$C$10,0))*INDEX(Parsed!$I$2:$I$190,(MATCH(B20,Data!$B$2:$B$22,0)-1)*9+MATCH("God",Parsed!$C$2:$C$10,0)),0)+IF(INDEX(Parsed!$K$2:$K$190,(MATCH(A20,Data!$B$2:$B$22,0)-1)*9+MATCH("Politics",Parsed!$C$2:$C$10,0))=INDEX(Parsed!$H$2:$H$190,(MATCH(B20,Data!$B$2:$B$22,0)-1)*9+MATCH("Politics",Parsed!$C$2:$C$10,0)),INDEX(Parsed!$M$2:$M$190,(MATCH(A20,Data!$B$2:$B$22,0)-1)*9+MATCH("Politics",Parsed!$C$2:$C$10,0))*INDEX(Parsed!$I$2:$I$190,(MATCH(B20,Data!$B$2:$B$22,0)-1)*9+MATCH("Politics",Parsed!$C$2:$C$10,0)),0)+IF(INDEX(Parsed!$K$2:$K$190,(MATCH(A20,Data!$B$2:$B$22,0)-1)*9+MATCH("Marriage",Parsed!$C$2:$C$10,0))=INDEX(Parsed!$H$2:$H$190,(MATCH(B20,Data!$B$2:$B$22,0)-1)*9+MATCH("Marriage",Parsed!$C$2:$C$10,0)),INDEX(Parsed!$M$2:$M$190,(MATCH(A20,Data!$B$2:$B$22,0)-1)*9+MATCH("Marriage",Parsed!$C$2:$C$10,0))*INDEX(Parsed!$I$2:$I$190,(MATCH(B20,Data!$B$2:$B$22,0)-1)*9+MATCH("Marriage",Parsed!$C$2:$C$10,0)),0)+IF(INDEX(Parsed!$K$2:$K$190,(MATCH(A20,Data!$B$2:$B$22,0)-1)*9+MATCH("Children",Parsed!$C$2:$C$10,0))=INDEX(Parsed!$H$2:$H$190,(MATCH(B20,Data!$B$2:$B$22,0)-1)*9+MATCH("Children",Parsed!$C$2:$C$10,0)),INDEX(Parsed!$M$2:$M$190,(MATCH(A20,Data!$B$2:$B$22,0)-1)*9+MATCH("Children",Parsed!$C$2:$C$10,0))*INDEX(Parsed!$I$2:$I$190,(MATCH(B20,Data!$B$2:$B$22,0)-1)*9+MATCH("Children",Parsed!$C$2:$C$10,0)),0)+IF(INDEX(Parsed!$K$2:$K$190,(MATCH(A20,Data!$B$2:$B$22,0)-1)*9+MATCH("Ethicity",Parsed!$C$2:$C$10,0))=INDEX(Parsed!$H$2:$H$190,(MATCH(B20,Data!$B$2:$B$22,0)-1)*9+MATCH("Ethicity",Parsed!$C$2:$C$10,0)),INDEX(Parsed!$M$2:$M$190,(MATCH(A20,Data!$B$2:$B$22,0)-1)*9+MATCH("Ethicity",Parsed!$C$2:$C$10,0))*INDEX(Parsed!$I$2:$I$190,(MATCH(B20,Data!$B$2:$B$22,0)-1)*9+MATCH("Ethicity",Parsed!$C$2:$C$10,0)),0)+IF(INDEX(Parsed!$K$2:$K$190,(MATCH(A20,Data!$B$2:$B$22,0)-1)*9+MATCH("Past",Parsed!$C$2:$C$10,0))=INDEX(Parsed!$H$2:$H$190,(MATCH(B20,Data!$B$2:$B$22,0)-1)*9+MATCH("Past",Parsed!$C$2:$C$10,0)),INDEX(Parsed!$M$2:$M$190,(MATCH(A20,Data!$B$2:$B$22,0)-1)*9+MATCH("Past",Parsed!$C$2:$C$10,0))*INDEX(Parsed!$I$2:$I$190,(MATCH(B20,Data!$B$2:$B$22,0)-1)*9+MATCH("Past",Parsed!$C$2:$C$10,0)),0)+IF(INDEX(Parsed!$K$2:$K$190,(MATCH(A20,Data!$B$2:$B$22,0)-1)*9+MATCH("D/S",Parsed!$C$2:$C$10,0))=INDEX(Parsed!$H$2:$H$190,(MATCH(B20,Data!$B$2:$B$22,0)-1)*9+MATCH("D/S",Parsed!$C$2:$C$10,0)),INDEX(Parsed!$M$2:$M$190,(MATCH(A20,Data!$B$2:$B$22,0)-1)*9+MATCH("D/S",Parsed!$C$2:$C$10,0))*INDEX(Parsed!$I$2:$I$190,(MATCH(B20,Data!$B$2:$B$22,0)-1)*9+MATCH("D/S",Parsed!$C$2:$C$10,0)),0)+IF(INDEX(Parsed!$K$2:$K$190,(MATCH(A20,Data!$B$2:$B$22,0)-1)*9+MATCH("True/kind",Parsed!$C$2:$C$10,0))=INDEX(Parsed!$H$2:$H$190,(MATCH(B20,Data!$B$2:$B$22,0)-1)*9+MATCH("True/kind",Parsed!$C$2:$C$10,0)),INDEX(Parsed!$M$2:$M$190,(MATCH(A20,Data!$B$2:$B$22,0)-1)*9+MATCH("True/kind",Parsed!$C$2:$C$10,0))*INDEX(Parsed!$I$2:$I$190,(MATCH(B20,Data!$B$2:$B$22,0)-1)*9+MATCH("True/kind",Parsed!$C$2:$C$10,0)),0)+IF(INDEX(Parsed!$K$2:$K$190,(MATCH(A20,Data!$B$2:$B$22,0)-1)*9+MATCH("Animal",Parsed!$C$2:$C$10,0))=INDEX(Parsed!$H$2:$H$190,(MATCH(B20,Data!$B$2:$B$22,0)-1)*9+MATCH("Animal",Parsed!$C$2:$C$10,0)),INDEX(Parsed!$M$2:$M$190,(MATCH(A20,Data!$B$2:$B$22,0)-1)*9+MATCH("Animal",Parsed!$C$2:$C$10,0))*INDEX(Parsed!$I$2:$I$190,(MATCH(B20,Data!$B$2:$B$22,0)-1)*9+MATCH("Animal",Parsed!$C$2:$C$10,0)),0),0)</x:f>
        <x:v>93.75</x:v>
      </x:c>
      <x:c r="E20" s="11" t="n">
        <x:f>SQRT(C20*D20)</x:f>
        <x:v>81.72935519138763</x:v>
      </x:c>
    </x:row>
    <x:row r="21">
      <x:c r="A21" t="str">
        <x:v>ethan</x:v>
      </x:c>
      <x:c r="B21" t="str">
        <x:v>issabel</x:v>
      </x:c>
      <x:c r="C21" s="11" t="n">
        <x:f>IFERROR(IF(INDEX(Parsed!$K$2:$K$190,(MATCH(B21,Data!$B$2:$B$22,0)-1)*9+MATCH("God",Parsed!$C$2:$C$10,0))=INDEX(Parsed!$H$2:$H$190,(MATCH(A21,Data!$B$2:$B$22,0)-1)*9+MATCH("God",Parsed!$C$2:$C$10,0)),INDEX(Parsed!$M$2:$M$190,(MATCH(B21,Data!$B$2:$B$22,0)-1)*9+MATCH("God",Parsed!$C$2:$C$10,0))*INDEX(Parsed!$I$2:$I$190,(MATCH(A21,Data!$B$2:$B$22,0)-1)*9+MATCH("God",Parsed!$C$2:$C$10,0)),0)+IF(INDEX(Parsed!$K$2:$K$190,(MATCH(B21,Data!$B$2:$B$22,0)-1)*9+MATCH("Politics",Parsed!$C$2:$C$10,0))=INDEX(Parsed!$H$2:$H$190,(MATCH(A21,Data!$B$2:$B$22,0)-1)*9+MATCH("Politics",Parsed!$C$2:$C$10,0)),INDEX(Parsed!$M$2:$M$190,(MATCH(B21,Data!$B$2:$B$22,0)-1)*9+MATCH("Politics",Parsed!$C$2:$C$10,0))*INDEX(Parsed!$I$2:$I$190,(MATCH(A21,Data!$B$2:$B$22,0)-1)*9+MATCH("Politics",Parsed!$C$2:$C$10,0)),0)+IF(INDEX(Parsed!$K$2:$K$190,(MATCH(B21,Data!$B$2:$B$22,0)-1)*9+MATCH("Marriage",Parsed!$C$2:$C$10,0))=INDEX(Parsed!$H$2:$H$190,(MATCH(A21,Data!$B$2:$B$22,0)-1)*9+MATCH("Marriage",Parsed!$C$2:$C$10,0)),INDEX(Parsed!$M$2:$M$190,(MATCH(B21,Data!$B$2:$B$22,0)-1)*9+MATCH("Marriage",Parsed!$C$2:$C$10,0))*INDEX(Parsed!$I$2:$I$190,(MATCH(A21,Data!$B$2:$B$22,0)-1)*9+MATCH("Marriage",Parsed!$C$2:$C$10,0)),0)+IF(INDEX(Parsed!$K$2:$K$190,(MATCH(B21,Data!$B$2:$B$22,0)-1)*9+MATCH("Children",Parsed!$C$2:$C$10,0))=INDEX(Parsed!$H$2:$H$190,(MATCH(A21,Data!$B$2:$B$22,0)-1)*9+MATCH("Children",Parsed!$C$2:$C$10,0)),INDEX(Parsed!$M$2:$M$190,(MATCH(B21,Data!$B$2:$B$22,0)-1)*9+MATCH("Children",Parsed!$C$2:$C$10,0))*INDEX(Parsed!$I$2:$I$190,(MATCH(A21,Data!$B$2:$B$22,0)-1)*9+MATCH("Children",Parsed!$C$2:$C$10,0)),0)+IF(INDEX(Parsed!$K$2:$K$190,(MATCH(B21,Data!$B$2:$B$22,0)-1)*9+MATCH("Ethicity",Parsed!$C$2:$C$10,0))=INDEX(Parsed!$H$2:$H$190,(MATCH(A21,Data!$B$2:$B$22,0)-1)*9+MATCH("Ethicity",Parsed!$C$2:$C$10,0)),INDEX(Parsed!$M$2:$M$190,(MATCH(B21,Data!$B$2:$B$22,0)-1)*9+MATCH("Ethicity",Parsed!$C$2:$C$10,0))*INDEX(Parsed!$I$2:$I$190,(MATCH(A21,Data!$B$2:$B$22,0)-1)*9+MATCH("Ethicity",Parsed!$C$2:$C$10,0)),0)+IF(INDEX(Parsed!$K$2:$K$190,(MATCH(B21,Data!$B$2:$B$22,0)-1)*9+MATCH("Past",Parsed!$C$2:$C$10,0))=INDEX(Parsed!$H$2:$H$190,(MATCH(A21,Data!$B$2:$B$22,0)-1)*9+MATCH("Past",Parsed!$C$2:$C$10,0)),INDEX(Parsed!$M$2:$M$190,(MATCH(B21,Data!$B$2:$B$22,0)-1)*9+MATCH("Past",Parsed!$C$2:$C$10,0))*INDEX(Parsed!$I$2:$I$190,(MATCH(A21,Data!$B$2:$B$22,0)-1)*9+MATCH("Past",Parsed!$C$2:$C$10,0)),0)+IF(INDEX(Parsed!$K$2:$K$190,(MATCH(B21,Data!$B$2:$B$22,0)-1)*9+MATCH("D/S",Parsed!$C$2:$C$10,0))=INDEX(Parsed!$H$2:$H$190,(MATCH(A21,Data!$B$2:$B$22,0)-1)*9+MATCH("D/S",Parsed!$C$2:$C$10,0)),INDEX(Parsed!$M$2:$M$190,(MATCH(B21,Data!$B$2:$B$22,0)-1)*9+MATCH("D/S",Parsed!$C$2:$C$10,0))*INDEX(Parsed!$I$2:$I$190,(MATCH(A21,Data!$B$2:$B$22,0)-1)*9+MATCH("D/S",Parsed!$C$2:$C$10,0)),0)+IF(INDEX(Parsed!$K$2:$K$190,(MATCH(B21,Data!$B$2:$B$22,0)-1)*9+MATCH("True/kind",Parsed!$C$2:$C$10,0))=INDEX(Parsed!$H$2:$H$190,(MATCH(A21,Data!$B$2:$B$22,0)-1)*9+MATCH("True/kind",Parsed!$C$2:$C$10,0)),INDEX(Parsed!$M$2:$M$190,(MATCH(B21,Data!$B$2:$B$22,0)-1)*9+MATCH("True/kind",Parsed!$C$2:$C$10,0))*INDEX(Parsed!$I$2:$I$190,(MATCH(A21,Data!$B$2:$B$22,0)-1)*9+MATCH("True/kind",Parsed!$C$2:$C$10,0)),0)+IF(INDEX(Parsed!$K$2:$K$190,(MATCH(B21,Data!$B$2:$B$22,0)-1)*9+MATCH("Animal",Parsed!$C$2:$C$10,0))=INDEX(Parsed!$H$2:$H$190,(MATCH(A21,Data!$B$2:$B$22,0)-1)*9+MATCH("Animal",Parsed!$C$2:$C$10,0)),INDEX(Parsed!$M$2:$M$190,(MATCH(B21,Data!$B$2:$B$22,0)-1)*9+MATCH("Animal",Parsed!$C$2:$C$10,0))*INDEX(Parsed!$I$2:$I$190,(MATCH(A21,Data!$B$2:$B$22,0)-1)*9+MATCH("Animal",Parsed!$C$2:$C$10,0)),0),0)</x:f>
        <x:v>56.25</x:v>
      </x:c>
      <x:c r="D21" s="11" t="n">
        <x:f>IFERROR(IF(INDEX(Parsed!$K$2:$K$190,(MATCH(A21,Data!$B$2:$B$22,0)-1)*9+MATCH("God",Parsed!$C$2:$C$10,0))=INDEX(Parsed!$H$2:$H$190,(MATCH(B21,Data!$B$2:$B$22,0)-1)*9+MATCH("God",Parsed!$C$2:$C$10,0)),INDEX(Parsed!$M$2:$M$190,(MATCH(A21,Data!$B$2:$B$22,0)-1)*9+MATCH("God",Parsed!$C$2:$C$10,0))*INDEX(Parsed!$I$2:$I$190,(MATCH(B21,Data!$B$2:$B$22,0)-1)*9+MATCH("God",Parsed!$C$2:$C$10,0)),0)+IF(INDEX(Parsed!$K$2:$K$190,(MATCH(A21,Data!$B$2:$B$22,0)-1)*9+MATCH("Politics",Parsed!$C$2:$C$10,0))=INDEX(Parsed!$H$2:$H$190,(MATCH(B21,Data!$B$2:$B$22,0)-1)*9+MATCH("Politics",Parsed!$C$2:$C$10,0)),INDEX(Parsed!$M$2:$M$190,(MATCH(A21,Data!$B$2:$B$22,0)-1)*9+MATCH("Politics",Parsed!$C$2:$C$10,0))*INDEX(Parsed!$I$2:$I$190,(MATCH(B21,Data!$B$2:$B$22,0)-1)*9+MATCH("Politics",Parsed!$C$2:$C$10,0)),0)+IF(INDEX(Parsed!$K$2:$K$190,(MATCH(A21,Data!$B$2:$B$22,0)-1)*9+MATCH("Marriage",Parsed!$C$2:$C$10,0))=INDEX(Parsed!$H$2:$H$190,(MATCH(B21,Data!$B$2:$B$22,0)-1)*9+MATCH("Marriage",Parsed!$C$2:$C$10,0)),INDEX(Parsed!$M$2:$M$190,(MATCH(A21,Data!$B$2:$B$22,0)-1)*9+MATCH("Marriage",Parsed!$C$2:$C$10,0))*INDEX(Parsed!$I$2:$I$190,(MATCH(B21,Data!$B$2:$B$22,0)-1)*9+MATCH("Marriage",Parsed!$C$2:$C$10,0)),0)+IF(INDEX(Parsed!$K$2:$K$190,(MATCH(A21,Data!$B$2:$B$22,0)-1)*9+MATCH("Children",Parsed!$C$2:$C$10,0))=INDEX(Parsed!$H$2:$H$190,(MATCH(B21,Data!$B$2:$B$22,0)-1)*9+MATCH("Children",Parsed!$C$2:$C$10,0)),INDEX(Parsed!$M$2:$M$190,(MATCH(A21,Data!$B$2:$B$22,0)-1)*9+MATCH("Children",Parsed!$C$2:$C$10,0))*INDEX(Parsed!$I$2:$I$190,(MATCH(B21,Data!$B$2:$B$22,0)-1)*9+MATCH("Children",Parsed!$C$2:$C$10,0)),0)+IF(INDEX(Parsed!$K$2:$K$190,(MATCH(A21,Data!$B$2:$B$22,0)-1)*9+MATCH("Ethicity",Parsed!$C$2:$C$10,0))=INDEX(Parsed!$H$2:$H$190,(MATCH(B21,Data!$B$2:$B$22,0)-1)*9+MATCH("Ethicity",Parsed!$C$2:$C$10,0)),INDEX(Parsed!$M$2:$M$190,(MATCH(A21,Data!$B$2:$B$22,0)-1)*9+MATCH("Ethicity",Parsed!$C$2:$C$10,0))*INDEX(Parsed!$I$2:$I$190,(MATCH(B21,Data!$B$2:$B$22,0)-1)*9+MATCH("Ethicity",Parsed!$C$2:$C$10,0)),0)+IF(INDEX(Parsed!$K$2:$K$190,(MATCH(A21,Data!$B$2:$B$22,0)-1)*9+MATCH("Past",Parsed!$C$2:$C$10,0))=INDEX(Parsed!$H$2:$H$190,(MATCH(B21,Data!$B$2:$B$22,0)-1)*9+MATCH("Past",Parsed!$C$2:$C$10,0)),INDEX(Parsed!$M$2:$M$190,(MATCH(A21,Data!$B$2:$B$22,0)-1)*9+MATCH("Past",Parsed!$C$2:$C$10,0))*INDEX(Parsed!$I$2:$I$190,(MATCH(B21,Data!$B$2:$B$22,0)-1)*9+MATCH("Past",Parsed!$C$2:$C$10,0)),0)+IF(INDEX(Parsed!$K$2:$K$190,(MATCH(A21,Data!$B$2:$B$22,0)-1)*9+MATCH("D/S",Parsed!$C$2:$C$10,0))=INDEX(Parsed!$H$2:$H$190,(MATCH(B21,Data!$B$2:$B$22,0)-1)*9+MATCH("D/S",Parsed!$C$2:$C$10,0)),INDEX(Parsed!$M$2:$M$190,(MATCH(A21,Data!$B$2:$B$22,0)-1)*9+MATCH("D/S",Parsed!$C$2:$C$10,0))*INDEX(Parsed!$I$2:$I$190,(MATCH(B21,Data!$B$2:$B$22,0)-1)*9+MATCH("D/S",Parsed!$C$2:$C$10,0)),0)+IF(INDEX(Parsed!$K$2:$K$190,(MATCH(A21,Data!$B$2:$B$22,0)-1)*9+MATCH("True/kind",Parsed!$C$2:$C$10,0))=INDEX(Parsed!$H$2:$H$190,(MATCH(B21,Data!$B$2:$B$22,0)-1)*9+MATCH("True/kind",Parsed!$C$2:$C$10,0)),INDEX(Parsed!$M$2:$M$190,(MATCH(A21,Data!$B$2:$B$22,0)-1)*9+MATCH("True/kind",Parsed!$C$2:$C$10,0))*INDEX(Parsed!$I$2:$I$190,(MATCH(B21,Data!$B$2:$B$22,0)-1)*9+MATCH("True/kind",Parsed!$C$2:$C$10,0)),0)+IF(INDEX(Parsed!$K$2:$K$190,(MATCH(A21,Data!$B$2:$B$22,0)-1)*9+MATCH("Animal",Parsed!$C$2:$C$10,0))=INDEX(Parsed!$H$2:$H$190,(MATCH(B21,Data!$B$2:$B$22,0)-1)*9+MATCH("Animal",Parsed!$C$2:$C$10,0)),INDEX(Parsed!$M$2:$M$190,(MATCH(A21,Data!$B$2:$B$22,0)-1)*9+MATCH("Animal",Parsed!$C$2:$C$10,0))*INDEX(Parsed!$I$2:$I$190,(MATCH(B21,Data!$B$2:$B$22,0)-1)*9+MATCH("Animal",Parsed!$C$2:$C$10,0)),0),0)</x:f>
        <x:v>50</x:v>
      </x:c>
      <x:c r="E21" s="11" t="n">
        <x:f>SQRT(C21*D21)</x:f>
        <x:v>53.033008588991066</x:v>
      </x:c>
    </x:row>
    <x:row r="22">
      <x:c r="A22" t="str">
        <x:v>ethan</x:v>
      </x:c>
      <x:c r="B22" t="str">
        <x:v>lydia</x:v>
      </x:c>
      <x:c r="C22" s="11" t="n">
        <x:f>IFERROR(IF(INDEX(Parsed!$K$2:$K$190,(MATCH(B22,Data!$B$2:$B$22,0)-1)*9+MATCH("God",Parsed!$C$2:$C$10,0))=INDEX(Parsed!$H$2:$H$190,(MATCH(A22,Data!$B$2:$B$22,0)-1)*9+MATCH("God",Parsed!$C$2:$C$10,0)),INDEX(Parsed!$M$2:$M$190,(MATCH(B22,Data!$B$2:$B$22,0)-1)*9+MATCH("God",Parsed!$C$2:$C$10,0))*INDEX(Parsed!$I$2:$I$190,(MATCH(A22,Data!$B$2:$B$22,0)-1)*9+MATCH("God",Parsed!$C$2:$C$10,0)),0)+IF(INDEX(Parsed!$K$2:$K$190,(MATCH(B22,Data!$B$2:$B$22,0)-1)*9+MATCH("Politics",Parsed!$C$2:$C$10,0))=INDEX(Parsed!$H$2:$H$190,(MATCH(A22,Data!$B$2:$B$22,0)-1)*9+MATCH("Politics",Parsed!$C$2:$C$10,0)),INDEX(Parsed!$M$2:$M$190,(MATCH(B22,Data!$B$2:$B$22,0)-1)*9+MATCH("Politics",Parsed!$C$2:$C$10,0))*INDEX(Parsed!$I$2:$I$190,(MATCH(A22,Data!$B$2:$B$22,0)-1)*9+MATCH("Politics",Parsed!$C$2:$C$10,0)),0)+IF(INDEX(Parsed!$K$2:$K$190,(MATCH(B22,Data!$B$2:$B$22,0)-1)*9+MATCH("Marriage",Parsed!$C$2:$C$10,0))=INDEX(Parsed!$H$2:$H$190,(MATCH(A22,Data!$B$2:$B$22,0)-1)*9+MATCH("Marriage",Parsed!$C$2:$C$10,0)),INDEX(Parsed!$M$2:$M$190,(MATCH(B22,Data!$B$2:$B$22,0)-1)*9+MATCH("Marriage",Parsed!$C$2:$C$10,0))*INDEX(Parsed!$I$2:$I$190,(MATCH(A22,Data!$B$2:$B$22,0)-1)*9+MATCH("Marriage",Parsed!$C$2:$C$10,0)),0)+IF(INDEX(Parsed!$K$2:$K$190,(MATCH(B22,Data!$B$2:$B$22,0)-1)*9+MATCH("Children",Parsed!$C$2:$C$10,0))=INDEX(Parsed!$H$2:$H$190,(MATCH(A22,Data!$B$2:$B$22,0)-1)*9+MATCH("Children",Parsed!$C$2:$C$10,0)),INDEX(Parsed!$M$2:$M$190,(MATCH(B22,Data!$B$2:$B$22,0)-1)*9+MATCH("Children",Parsed!$C$2:$C$10,0))*INDEX(Parsed!$I$2:$I$190,(MATCH(A22,Data!$B$2:$B$22,0)-1)*9+MATCH("Children",Parsed!$C$2:$C$10,0)),0)+IF(INDEX(Parsed!$K$2:$K$190,(MATCH(B22,Data!$B$2:$B$22,0)-1)*9+MATCH("Ethicity",Parsed!$C$2:$C$10,0))=INDEX(Parsed!$H$2:$H$190,(MATCH(A22,Data!$B$2:$B$22,0)-1)*9+MATCH("Ethicity",Parsed!$C$2:$C$10,0)),INDEX(Parsed!$M$2:$M$190,(MATCH(B22,Data!$B$2:$B$22,0)-1)*9+MATCH("Ethicity",Parsed!$C$2:$C$10,0))*INDEX(Parsed!$I$2:$I$190,(MATCH(A22,Data!$B$2:$B$22,0)-1)*9+MATCH("Ethicity",Parsed!$C$2:$C$10,0)),0)+IF(INDEX(Parsed!$K$2:$K$190,(MATCH(B22,Data!$B$2:$B$22,0)-1)*9+MATCH("Past",Parsed!$C$2:$C$10,0))=INDEX(Parsed!$H$2:$H$190,(MATCH(A22,Data!$B$2:$B$22,0)-1)*9+MATCH("Past",Parsed!$C$2:$C$10,0)),INDEX(Parsed!$M$2:$M$190,(MATCH(B22,Data!$B$2:$B$22,0)-1)*9+MATCH("Past",Parsed!$C$2:$C$10,0))*INDEX(Parsed!$I$2:$I$190,(MATCH(A22,Data!$B$2:$B$22,0)-1)*9+MATCH("Past",Parsed!$C$2:$C$10,0)),0)+IF(INDEX(Parsed!$K$2:$K$190,(MATCH(B22,Data!$B$2:$B$22,0)-1)*9+MATCH("D/S",Parsed!$C$2:$C$10,0))=INDEX(Parsed!$H$2:$H$190,(MATCH(A22,Data!$B$2:$B$22,0)-1)*9+MATCH("D/S",Parsed!$C$2:$C$10,0)),INDEX(Parsed!$M$2:$M$190,(MATCH(B22,Data!$B$2:$B$22,0)-1)*9+MATCH("D/S",Parsed!$C$2:$C$10,0))*INDEX(Parsed!$I$2:$I$190,(MATCH(A22,Data!$B$2:$B$22,0)-1)*9+MATCH("D/S",Parsed!$C$2:$C$10,0)),0)+IF(INDEX(Parsed!$K$2:$K$190,(MATCH(B22,Data!$B$2:$B$22,0)-1)*9+MATCH("True/kind",Parsed!$C$2:$C$10,0))=INDEX(Parsed!$H$2:$H$190,(MATCH(A22,Data!$B$2:$B$22,0)-1)*9+MATCH("True/kind",Parsed!$C$2:$C$10,0)),INDEX(Parsed!$M$2:$M$190,(MATCH(B22,Data!$B$2:$B$22,0)-1)*9+MATCH("True/kind",Parsed!$C$2:$C$10,0))*INDEX(Parsed!$I$2:$I$190,(MATCH(A22,Data!$B$2:$B$22,0)-1)*9+MATCH("True/kind",Parsed!$C$2:$C$10,0)),0)+IF(INDEX(Parsed!$K$2:$K$190,(MATCH(B22,Data!$B$2:$B$22,0)-1)*9+MATCH("Animal",Parsed!$C$2:$C$10,0))=INDEX(Parsed!$H$2:$H$190,(MATCH(A22,Data!$B$2:$B$22,0)-1)*9+MATCH("Animal",Parsed!$C$2:$C$10,0)),INDEX(Parsed!$M$2:$M$190,(MATCH(B22,Data!$B$2:$B$22,0)-1)*9+MATCH("Animal",Parsed!$C$2:$C$10,0))*INDEX(Parsed!$I$2:$I$190,(MATCH(A22,Data!$B$2:$B$22,0)-1)*9+MATCH("Animal",Parsed!$C$2:$C$10,0)),0),0)</x:f>
        <x:v>21.25</x:v>
      </x:c>
      <x:c r="D22" s="11" t="n">
        <x:f>IFERROR(IF(INDEX(Parsed!$K$2:$K$190,(MATCH(A22,Data!$B$2:$B$22,0)-1)*9+MATCH("God",Parsed!$C$2:$C$10,0))=INDEX(Parsed!$H$2:$H$190,(MATCH(B22,Data!$B$2:$B$22,0)-1)*9+MATCH("God",Parsed!$C$2:$C$10,0)),INDEX(Parsed!$M$2:$M$190,(MATCH(A22,Data!$B$2:$B$22,0)-1)*9+MATCH("God",Parsed!$C$2:$C$10,0))*INDEX(Parsed!$I$2:$I$190,(MATCH(B22,Data!$B$2:$B$22,0)-1)*9+MATCH("God",Parsed!$C$2:$C$10,0)),0)+IF(INDEX(Parsed!$K$2:$K$190,(MATCH(A22,Data!$B$2:$B$22,0)-1)*9+MATCH("Politics",Parsed!$C$2:$C$10,0))=INDEX(Parsed!$H$2:$H$190,(MATCH(B22,Data!$B$2:$B$22,0)-1)*9+MATCH("Politics",Parsed!$C$2:$C$10,0)),INDEX(Parsed!$M$2:$M$190,(MATCH(A22,Data!$B$2:$B$22,0)-1)*9+MATCH("Politics",Parsed!$C$2:$C$10,0))*INDEX(Parsed!$I$2:$I$190,(MATCH(B22,Data!$B$2:$B$22,0)-1)*9+MATCH("Politics",Parsed!$C$2:$C$10,0)),0)+IF(INDEX(Parsed!$K$2:$K$190,(MATCH(A22,Data!$B$2:$B$22,0)-1)*9+MATCH("Marriage",Parsed!$C$2:$C$10,0))=INDEX(Parsed!$H$2:$H$190,(MATCH(B22,Data!$B$2:$B$22,0)-1)*9+MATCH("Marriage",Parsed!$C$2:$C$10,0)),INDEX(Parsed!$M$2:$M$190,(MATCH(A22,Data!$B$2:$B$22,0)-1)*9+MATCH("Marriage",Parsed!$C$2:$C$10,0))*INDEX(Parsed!$I$2:$I$190,(MATCH(B22,Data!$B$2:$B$22,0)-1)*9+MATCH("Marriage",Parsed!$C$2:$C$10,0)),0)+IF(INDEX(Parsed!$K$2:$K$190,(MATCH(A22,Data!$B$2:$B$22,0)-1)*9+MATCH("Children",Parsed!$C$2:$C$10,0))=INDEX(Parsed!$H$2:$H$190,(MATCH(B22,Data!$B$2:$B$22,0)-1)*9+MATCH("Children",Parsed!$C$2:$C$10,0)),INDEX(Parsed!$M$2:$M$190,(MATCH(A22,Data!$B$2:$B$22,0)-1)*9+MATCH("Children",Parsed!$C$2:$C$10,0))*INDEX(Parsed!$I$2:$I$190,(MATCH(B22,Data!$B$2:$B$22,0)-1)*9+MATCH("Children",Parsed!$C$2:$C$10,0)),0)+IF(INDEX(Parsed!$K$2:$K$190,(MATCH(A22,Data!$B$2:$B$22,0)-1)*9+MATCH("Ethicity",Parsed!$C$2:$C$10,0))=INDEX(Parsed!$H$2:$H$190,(MATCH(B22,Data!$B$2:$B$22,0)-1)*9+MATCH("Ethicity",Parsed!$C$2:$C$10,0)),INDEX(Parsed!$M$2:$M$190,(MATCH(A22,Data!$B$2:$B$22,0)-1)*9+MATCH("Ethicity",Parsed!$C$2:$C$10,0))*INDEX(Parsed!$I$2:$I$190,(MATCH(B22,Data!$B$2:$B$22,0)-1)*9+MATCH("Ethicity",Parsed!$C$2:$C$10,0)),0)+IF(INDEX(Parsed!$K$2:$K$190,(MATCH(A22,Data!$B$2:$B$22,0)-1)*9+MATCH("Past",Parsed!$C$2:$C$10,0))=INDEX(Parsed!$H$2:$H$190,(MATCH(B22,Data!$B$2:$B$22,0)-1)*9+MATCH("Past",Parsed!$C$2:$C$10,0)),INDEX(Parsed!$M$2:$M$190,(MATCH(A22,Data!$B$2:$B$22,0)-1)*9+MATCH("Past",Parsed!$C$2:$C$10,0))*INDEX(Parsed!$I$2:$I$190,(MATCH(B22,Data!$B$2:$B$22,0)-1)*9+MATCH("Past",Parsed!$C$2:$C$10,0)),0)+IF(INDEX(Parsed!$K$2:$K$190,(MATCH(A22,Data!$B$2:$B$22,0)-1)*9+MATCH("D/S",Parsed!$C$2:$C$10,0))=INDEX(Parsed!$H$2:$H$190,(MATCH(B22,Data!$B$2:$B$22,0)-1)*9+MATCH("D/S",Parsed!$C$2:$C$10,0)),INDEX(Parsed!$M$2:$M$190,(MATCH(A22,Data!$B$2:$B$22,0)-1)*9+MATCH("D/S",Parsed!$C$2:$C$10,0))*INDEX(Parsed!$I$2:$I$190,(MATCH(B22,Data!$B$2:$B$22,0)-1)*9+MATCH("D/S",Parsed!$C$2:$C$10,0)),0)+IF(INDEX(Parsed!$K$2:$K$190,(MATCH(A22,Data!$B$2:$B$22,0)-1)*9+MATCH("True/kind",Parsed!$C$2:$C$10,0))=INDEX(Parsed!$H$2:$H$190,(MATCH(B22,Data!$B$2:$B$22,0)-1)*9+MATCH("True/kind",Parsed!$C$2:$C$10,0)),INDEX(Parsed!$M$2:$M$190,(MATCH(A22,Data!$B$2:$B$22,0)-1)*9+MATCH("True/kind",Parsed!$C$2:$C$10,0))*INDEX(Parsed!$I$2:$I$190,(MATCH(B22,Data!$B$2:$B$22,0)-1)*9+MATCH("True/kind",Parsed!$C$2:$C$10,0)),0)+IF(INDEX(Parsed!$K$2:$K$190,(MATCH(A22,Data!$B$2:$B$22,0)-1)*9+MATCH("Animal",Parsed!$C$2:$C$10,0))=INDEX(Parsed!$H$2:$H$190,(MATCH(B22,Data!$B$2:$B$22,0)-1)*9+MATCH("Animal",Parsed!$C$2:$C$10,0)),INDEX(Parsed!$M$2:$M$190,(MATCH(A22,Data!$B$2:$B$22,0)-1)*9+MATCH("Animal",Parsed!$C$2:$C$10,0))*INDEX(Parsed!$I$2:$I$190,(MATCH(B22,Data!$B$2:$B$22,0)-1)*9+MATCH("Animal",Parsed!$C$2:$C$10,0)),0),0)</x:f>
        <x:v>26.25</x:v>
      </x:c>
      <x:c r="E22" s="11" t="n">
        <x:f>SQRT(C22*D22)</x:f>
        <x:v>23.61805453461398</x:v>
      </x:c>
    </x:row>
    <x:row r="23">
      <x:c r="A23" t="str">
        <x:v>liam</x:v>
      </x:c>
      <x:c r="B23" t="str">
        <x:v>jasmine</x:v>
      </x:c>
      <x:c r="C23" s="11" t="n">
        <x:f>IFERROR(IF(INDEX(Parsed!$K$2:$K$190,(MATCH(B23,Data!$B$2:$B$22,0)-1)*9+MATCH("God",Parsed!$C$2:$C$10,0))=INDEX(Parsed!$H$2:$H$190,(MATCH(A23,Data!$B$2:$B$22,0)-1)*9+MATCH("God",Parsed!$C$2:$C$10,0)),INDEX(Parsed!$M$2:$M$190,(MATCH(B23,Data!$B$2:$B$22,0)-1)*9+MATCH("God",Parsed!$C$2:$C$10,0))*INDEX(Parsed!$I$2:$I$190,(MATCH(A23,Data!$B$2:$B$22,0)-1)*9+MATCH("God",Parsed!$C$2:$C$10,0)),0)+IF(INDEX(Parsed!$K$2:$K$190,(MATCH(B23,Data!$B$2:$B$22,0)-1)*9+MATCH("Politics",Parsed!$C$2:$C$10,0))=INDEX(Parsed!$H$2:$H$190,(MATCH(A23,Data!$B$2:$B$22,0)-1)*9+MATCH("Politics",Parsed!$C$2:$C$10,0)),INDEX(Parsed!$M$2:$M$190,(MATCH(B23,Data!$B$2:$B$22,0)-1)*9+MATCH("Politics",Parsed!$C$2:$C$10,0))*INDEX(Parsed!$I$2:$I$190,(MATCH(A23,Data!$B$2:$B$22,0)-1)*9+MATCH("Politics",Parsed!$C$2:$C$10,0)),0)+IF(INDEX(Parsed!$K$2:$K$190,(MATCH(B23,Data!$B$2:$B$22,0)-1)*9+MATCH("Marriage",Parsed!$C$2:$C$10,0))=INDEX(Parsed!$H$2:$H$190,(MATCH(A23,Data!$B$2:$B$22,0)-1)*9+MATCH("Marriage",Parsed!$C$2:$C$10,0)),INDEX(Parsed!$M$2:$M$190,(MATCH(B23,Data!$B$2:$B$22,0)-1)*9+MATCH("Marriage",Parsed!$C$2:$C$10,0))*INDEX(Parsed!$I$2:$I$190,(MATCH(A23,Data!$B$2:$B$22,0)-1)*9+MATCH("Marriage",Parsed!$C$2:$C$10,0)),0)+IF(INDEX(Parsed!$K$2:$K$190,(MATCH(B23,Data!$B$2:$B$22,0)-1)*9+MATCH("Children",Parsed!$C$2:$C$10,0))=INDEX(Parsed!$H$2:$H$190,(MATCH(A23,Data!$B$2:$B$22,0)-1)*9+MATCH("Children",Parsed!$C$2:$C$10,0)),INDEX(Parsed!$M$2:$M$190,(MATCH(B23,Data!$B$2:$B$22,0)-1)*9+MATCH("Children",Parsed!$C$2:$C$10,0))*INDEX(Parsed!$I$2:$I$190,(MATCH(A23,Data!$B$2:$B$22,0)-1)*9+MATCH("Children",Parsed!$C$2:$C$10,0)),0)+IF(INDEX(Parsed!$K$2:$K$190,(MATCH(B23,Data!$B$2:$B$22,0)-1)*9+MATCH("Ethicity",Parsed!$C$2:$C$10,0))=INDEX(Parsed!$H$2:$H$190,(MATCH(A23,Data!$B$2:$B$22,0)-1)*9+MATCH("Ethicity",Parsed!$C$2:$C$10,0)),INDEX(Parsed!$M$2:$M$190,(MATCH(B23,Data!$B$2:$B$22,0)-1)*9+MATCH("Ethicity",Parsed!$C$2:$C$10,0))*INDEX(Parsed!$I$2:$I$190,(MATCH(A23,Data!$B$2:$B$22,0)-1)*9+MATCH("Ethicity",Parsed!$C$2:$C$10,0)),0)+IF(INDEX(Parsed!$K$2:$K$190,(MATCH(B23,Data!$B$2:$B$22,0)-1)*9+MATCH("Past",Parsed!$C$2:$C$10,0))=INDEX(Parsed!$H$2:$H$190,(MATCH(A23,Data!$B$2:$B$22,0)-1)*9+MATCH("Past",Parsed!$C$2:$C$10,0)),INDEX(Parsed!$M$2:$M$190,(MATCH(B23,Data!$B$2:$B$22,0)-1)*9+MATCH("Past",Parsed!$C$2:$C$10,0))*INDEX(Parsed!$I$2:$I$190,(MATCH(A23,Data!$B$2:$B$22,0)-1)*9+MATCH("Past",Parsed!$C$2:$C$10,0)),0)+IF(INDEX(Parsed!$K$2:$K$190,(MATCH(B23,Data!$B$2:$B$22,0)-1)*9+MATCH("D/S",Parsed!$C$2:$C$10,0))=INDEX(Parsed!$H$2:$H$190,(MATCH(A23,Data!$B$2:$B$22,0)-1)*9+MATCH("D/S",Parsed!$C$2:$C$10,0)),INDEX(Parsed!$M$2:$M$190,(MATCH(B23,Data!$B$2:$B$22,0)-1)*9+MATCH("D/S",Parsed!$C$2:$C$10,0))*INDEX(Parsed!$I$2:$I$190,(MATCH(A23,Data!$B$2:$B$22,0)-1)*9+MATCH("D/S",Parsed!$C$2:$C$10,0)),0)+IF(INDEX(Parsed!$K$2:$K$190,(MATCH(B23,Data!$B$2:$B$22,0)-1)*9+MATCH("True/kind",Parsed!$C$2:$C$10,0))=INDEX(Parsed!$H$2:$H$190,(MATCH(A23,Data!$B$2:$B$22,0)-1)*9+MATCH("True/kind",Parsed!$C$2:$C$10,0)),INDEX(Parsed!$M$2:$M$190,(MATCH(B23,Data!$B$2:$B$22,0)-1)*9+MATCH("True/kind",Parsed!$C$2:$C$10,0))*INDEX(Parsed!$I$2:$I$190,(MATCH(A23,Data!$B$2:$B$22,0)-1)*9+MATCH("True/kind",Parsed!$C$2:$C$10,0)),0)+IF(INDEX(Parsed!$K$2:$K$190,(MATCH(B23,Data!$B$2:$B$22,0)-1)*9+MATCH("Animal",Parsed!$C$2:$C$10,0))=INDEX(Parsed!$H$2:$H$190,(MATCH(A23,Data!$B$2:$B$22,0)-1)*9+MATCH("Animal",Parsed!$C$2:$C$10,0)),INDEX(Parsed!$M$2:$M$190,(MATCH(B23,Data!$B$2:$B$22,0)-1)*9+MATCH("Animal",Parsed!$C$2:$C$10,0))*INDEX(Parsed!$I$2:$I$190,(MATCH(A23,Data!$B$2:$B$22,0)-1)*9+MATCH("Animal",Parsed!$C$2:$C$10,0)),0),0)</x:f>
        <x:v>51.25</x:v>
      </x:c>
      <x:c r="D23" s="11" t="n">
        <x:f>IFERROR(IF(INDEX(Parsed!$K$2:$K$190,(MATCH(A23,Data!$B$2:$B$22,0)-1)*9+MATCH("God",Parsed!$C$2:$C$10,0))=INDEX(Parsed!$H$2:$H$190,(MATCH(B23,Data!$B$2:$B$22,0)-1)*9+MATCH("God",Parsed!$C$2:$C$10,0)),INDEX(Parsed!$M$2:$M$190,(MATCH(A23,Data!$B$2:$B$22,0)-1)*9+MATCH("God",Parsed!$C$2:$C$10,0))*INDEX(Parsed!$I$2:$I$190,(MATCH(B23,Data!$B$2:$B$22,0)-1)*9+MATCH("God",Parsed!$C$2:$C$10,0)),0)+IF(INDEX(Parsed!$K$2:$K$190,(MATCH(A23,Data!$B$2:$B$22,0)-1)*9+MATCH("Politics",Parsed!$C$2:$C$10,0))=INDEX(Parsed!$H$2:$H$190,(MATCH(B23,Data!$B$2:$B$22,0)-1)*9+MATCH("Politics",Parsed!$C$2:$C$10,0)),INDEX(Parsed!$M$2:$M$190,(MATCH(A23,Data!$B$2:$B$22,0)-1)*9+MATCH("Politics",Parsed!$C$2:$C$10,0))*INDEX(Parsed!$I$2:$I$190,(MATCH(B23,Data!$B$2:$B$22,0)-1)*9+MATCH("Politics",Parsed!$C$2:$C$10,0)),0)+IF(INDEX(Parsed!$K$2:$K$190,(MATCH(A23,Data!$B$2:$B$22,0)-1)*9+MATCH("Marriage",Parsed!$C$2:$C$10,0))=INDEX(Parsed!$H$2:$H$190,(MATCH(B23,Data!$B$2:$B$22,0)-1)*9+MATCH("Marriage",Parsed!$C$2:$C$10,0)),INDEX(Parsed!$M$2:$M$190,(MATCH(A23,Data!$B$2:$B$22,0)-1)*9+MATCH("Marriage",Parsed!$C$2:$C$10,0))*INDEX(Parsed!$I$2:$I$190,(MATCH(B23,Data!$B$2:$B$22,0)-1)*9+MATCH("Marriage",Parsed!$C$2:$C$10,0)),0)+IF(INDEX(Parsed!$K$2:$K$190,(MATCH(A23,Data!$B$2:$B$22,0)-1)*9+MATCH("Children",Parsed!$C$2:$C$10,0))=INDEX(Parsed!$H$2:$H$190,(MATCH(B23,Data!$B$2:$B$22,0)-1)*9+MATCH("Children",Parsed!$C$2:$C$10,0)),INDEX(Parsed!$M$2:$M$190,(MATCH(A23,Data!$B$2:$B$22,0)-1)*9+MATCH("Children",Parsed!$C$2:$C$10,0))*INDEX(Parsed!$I$2:$I$190,(MATCH(B23,Data!$B$2:$B$22,0)-1)*9+MATCH("Children",Parsed!$C$2:$C$10,0)),0)+IF(INDEX(Parsed!$K$2:$K$190,(MATCH(A23,Data!$B$2:$B$22,0)-1)*9+MATCH("Ethicity",Parsed!$C$2:$C$10,0))=INDEX(Parsed!$H$2:$H$190,(MATCH(B23,Data!$B$2:$B$22,0)-1)*9+MATCH("Ethicity",Parsed!$C$2:$C$10,0)),INDEX(Parsed!$M$2:$M$190,(MATCH(A23,Data!$B$2:$B$22,0)-1)*9+MATCH("Ethicity",Parsed!$C$2:$C$10,0))*INDEX(Parsed!$I$2:$I$190,(MATCH(B23,Data!$B$2:$B$22,0)-1)*9+MATCH("Ethicity",Parsed!$C$2:$C$10,0)),0)+IF(INDEX(Parsed!$K$2:$K$190,(MATCH(A23,Data!$B$2:$B$22,0)-1)*9+MATCH("Past",Parsed!$C$2:$C$10,0))=INDEX(Parsed!$H$2:$H$190,(MATCH(B23,Data!$B$2:$B$22,0)-1)*9+MATCH("Past",Parsed!$C$2:$C$10,0)),INDEX(Parsed!$M$2:$M$190,(MATCH(A23,Data!$B$2:$B$22,0)-1)*9+MATCH("Past",Parsed!$C$2:$C$10,0))*INDEX(Parsed!$I$2:$I$190,(MATCH(B23,Data!$B$2:$B$22,0)-1)*9+MATCH("Past",Parsed!$C$2:$C$10,0)),0)+IF(INDEX(Parsed!$K$2:$K$190,(MATCH(A23,Data!$B$2:$B$22,0)-1)*9+MATCH("D/S",Parsed!$C$2:$C$10,0))=INDEX(Parsed!$H$2:$H$190,(MATCH(B23,Data!$B$2:$B$22,0)-1)*9+MATCH("D/S",Parsed!$C$2:$C$10,0)),INDEX(Parsed!$M$2:$M$190,(MATCH(A23,Data!$B$2:$B$22,0)-1)*9+MATCH("D/S",Parsed!$C$2:$C$10,0))*INDEX(Parsed!$I$2:$I$190,(MATCH(B23,Data!$B$2:$B$22,0)-1)*9+MATCH("D/S",Parsed!$C$2:$C$10,0)),0)+IF(INDEX(Parsed!$K$2:$K$190,(MATCH(A23,Data!$B$2:$B$22,0)-1)*9+MATCH("True/kind",Parsed!$C$2:$C$10,0))=INDEX(Parsed!$H$2:$H$190,(MATCH(B23,Data!$B$2:$B$22,0)-1)*9+MATCH("True/kind",Parsed!$C$2:$C$10,0)),INDEX(Parsed!$M$2:$M$190,(MATCH(A23,Data!$B$2:$B$22,0)-1)*9+MATCH("True/kind",Parsed!$C$2:$C$10,0))*INDEX(Parsed!$I$2:$I$190,(MATCH(B23,Data!$B$2:$B$22,0)-1)*9+MATCH("True/kind",Parsed!$C$2:$C$10,0)),0)+IF(INDEX(Parsed!$K$2:$K$190,(MATCH(A23,Data!$B$2:$B$22,0)-1)*9+MATCH("Animal",Parsed!$C$2:$C$10,0))=INDEX(Parsed!$H$2:$H$190,(MATCH(B23,Data!$B$2:$B$22,0)-1)*9+MATCH("Animal",Parsed!$C$2:$C$10,0)),INDEX(Parsed!$M$2:$M$190,(MATCH(A23,Data!$B$2:$B$22,0)-1)*9+MATCH("Animal",Parsed!$C$2:$C$10,0))*INDEX(Parsed!$I$2:$I$190,(MATCH(B23,Data!$B$2:$B$22,0)-1)*9+MATCH("Animal",Parsed!$C$2:$C$10,0)),0),0)</x:f>
        <x:v>55</x:v>
      </x:c>
      <x:c r="E23" s="11" t="n">
        <x:f>SQRT(C23*D23)</x:f>
        <x:v>53.09190145398826</x:v>
      </x:c>
    </x:row>
    <x:row r="24">
      <x:c r="A24" t="str">
        <x:v>liam</x:v>
      </x:c>
      <x:c r="B24" t="str">
        <x:v>cathleen</x:v>
      </x:c>
      <x:c r="C24" s="11" t="n">
        <x:f>IFERROR(IF(INDEX(Parsed!$K$2:$K$190,(MATCH(B24,Data!$B$2:$B$22,0)-1)*9+MATCH("God",Parsed!$C$2:$C$10,0))=INDEX(Parsed!$H$2:$H$190,(MATCH(A24,Data!$B$2:$B$22,0)-1)*9+MATCH("God",Parsed!$C$2:$C$10,0)),INDEX(Parsed!$M$2:$M$190,(MATCH(B24,Data!$B$2:$B$22,0)-1)*9+MATCH("God",Parsed!$C$2:$C$10,0))*INDEX(Parsed!$I$2:$I$190,(MATCH(A24,Data!$B$2:$B$22,0)-1)*9+MATCH("God",Parsed!$C$2:$C$10,0)),0)+IF(INDEX(Parsed!$K$2:$K$190,(MATCH(B24,Data!$B$2:$B$22,0)-1)*9+MATCH("Politics",Parsed!$C$2:$C$10,0))=INDEX(Parsed!$H$2:$H$190,(MATCH(A24,Data!$B$2:$B$22,0)-1)*9+MATCH("Politics",Parsed!$C$2:$C$10,0)),INDEX(Parsed!$M$2:$M$190,(MATCH(B24,Data!$B$2:$B$22,0)-1)*9+MATCH("Politics",Parsed!$C$2:$C$10,0))*INDEX(Parsed!$I$2:$I$190,(MATCH(A24,Data!$B$2:$B$22,0)-1)*9+MATCH("Politics",Parsed!$C$2:$C$10,0)),0)+IF(INDEX(Parsed!$K$2:$K$190,(MATCH(B24,Data!$B$2:$B$22,0)-1)*9+MATCH("Marriage",Parsed!$C$2:$C$10,0))=INDEX(Parsed!$H$2:$H$190,(MATCH(A24,Data!$B$2:$B$22,0)-1)*9+MATCH("Marriage",Parsed!$C$2:$C$10,0)),INDEX(Parsed!$M$2:$M$190,(MATCH(B24,Data!$B$2:$B$22,0)-1)*9+MATCH("Marriage",Parsed!$C$2:$C$10,0))*INDEX(Parsed!$I$2:$I$190,(MATCH(A24,Data!$B$2:$B$22,0)-1)*9+MATCH("Marriage",Parsed!$C$2:$C$10,0)),0)+IF(INDEX(Parsed!$K$2:$K$190,(MATCH(B24,Data!$B$2:$B$22,0)-1)*9+MATCH("Children",Parsed!$C$2:$C$10,0))=INDEX(Parsed!$H$2:$H$190,(MATCH(A24,Data!$B$2:$B$22,0)-1)*9+MATCH("Children",Parsed!$C$2:$C$10,0)),INDEX(Parsed!$M$2:$M$190,(MATCH(B24,Data!$B$2:$B$22,0)-1)*9+MATCH("Children",Parsed!$C$2:$C$10,0))*INDEX(Parsed!$I$2:$I$190,(MATCH(A24,Data!$B$2:$B$22,0)-1)*9+MATCH("Children",Parsed!$C$2:$C$10,0)),0)+IF(INDEX(Parsed!$K$2:$K$190,(MATCH(B24,Data!$B$2:$B$22,0)-1)*9+MATCH("Ethicity",Parsed!$C$2:$C$10,0))=INDEX(Parsed!$H$2:$H$190,(MATCH(A24,Data!$B$2:$B$22,0)-1)*9+MATCH("Ethicity",Parsed!$C$2:$C$10,0)),INDEX(Parsed!$M$2:$M$190,(MATCH(B24,Data!$B$2:$B$22,0)-1)*9+MATCH("Ethicity",Parsed!$C$2:$C$10,0))*INDEX(Parsed!$I$2:$I$190,(MATCH(A24,Data!$B$2:$B$22,0)-1)*9+MATCH("Ethicity",Parsed!$C$2:$C$10,0)),0)+IF(INDEX(Parsed!$K$2:$K$190,(MATCH(B24,Data!$B$2:$B$22,0)-1)*9+MATCH("Past",Parsed!$C$2:$C$10,0))=INDEX(Parsed!$H$2:$H$190,(MATCH(A24,Data!$B$2:$B$22,0)-1)*9+MATCH("Past",Parsed!$C$2:$C$10,0)),INDEX(Parsed!$M$2:$M$190,(MATCH(B24,Data!$B$2:$B$22,0)-1)*9+MATCH("Past",Parsed!$C$2:$C$10,0))*INDEX(Parsed!$I$2:$I$190,(MATCH(A24,Data!$B$2:$B$22,0)-1)*9+MATCH("Past",Parsed!$C$2:$C$10,0)),0)+IF(INDEX(Parsed!$K$2:$K$190,(MATCH(B24,Data!$B$2:$B$22,0)-1)*9+MATCH("D/S",Parsed!$C$2:$C$10,0))=INDEX(Parsed!$H$2:$H$190,(MATCH(A24,Data!$B$2:$B$22,0)-1)*9+MATCH("D/S",Parsed!$C$2:$C$10,0)),INDEX(Parsed!$M$2:$M$190,(MATCH(B24,Data!$B$2:$B$22,0)-1)*9+MATCH("D/S",Parsed!$C$2:$C$10,0))*INDEX(Parsed!$I$2:$I$190,(MATCH(A24,Data!$B$2:$B$22,0)-1)*9+MATCH("D/S",Parsed!$C$2:$C$10,0)),0)+IF(INDEX(Parsed!$K$2:$K$190,(MATCH(B24,Data!$B$2:$B$22,0)-1)*9+MATCH("True/kind",Parsed!$C$2:$C$10,0))=INDEX(Parsed!$H$2:$H$190,(MATCH(A24,Data!$B$2:$B$22,0)-1)*9+MATCH("True/kind",Parsed!$C$2:$C$10,0)),INDEX(Parsed!$M$2:$M$190,(MATCH(B24,Data!$B$2:$B$22,0)-1)*9+MATCH("True/kind",Parsed!$C$2:$C$10,0))*INDEX(Parsed!$I$2:$I$190,(MATCH(A24,Data!$B$2:$B$22,0)-1)*9+MATCH("True/kind",Parsed!$C$2:$C$10,0)),0)+IF(INDEX(Parsed!$K$2:$K$190,(MATCH(B24,Data!$B$2:$B$22,0)-1)*9+MATCH("Animal",Parsed!$C$2:$C$10,0))=INDEX(Parsed!$H$2:$H$190,(MATCH(A24,Data!$B$2:$B$22,0)-1)*9+MATCH("Animal",Parsed!$C$2:$C$10,0)),INDEX(Parsed!$M$2:$M$190,(MATCH(B24,Data!$B$2:$B$22,0)-1)*9+MATCH("Animal",Parsed!$C$2:$C$10,0))*INDEX(Parsed!$I$2:$I$190,(MATCH(A24,Data!$B$2:$B$22,0)-1)*9+MATCH("Animal",Parsed!$C$2:$C$10,0)),0),0)</x:f>
        <x:v>36.25</x:v>
      </x:c>
      <x:c r="D24" s="11" t="n">
        <x:f>IFERROR(IF(INDEX(Parsed!$K$2:$K$190,(MATCH(A24,Data!$B$2:$B$22,0)-1)*9+MATCH("God",Parsed!$C$2:$C$10,0))=INDEX(Parsed!$H$2:$H$190,(MATCH(B24,Data!$B$2:$B$22,0)-1)*9+MATCH("God",Parsed!$C$2:$C$10,0)),INDEX(Parsed!$M$2:$M$190,(MATCH(A24,Data!$B$2:$B$22,0)-1)*9+MATCH("God",Parsed!$C$2:$C$10,0))*INDEX(Parsed!$I$2:$I$190,(MATCH(B24,Data!$B$2:$B$22,0)-1)*9+MATCH("God",Parsed!$C$2:$C$10,0)),0)+IF(INDEX(Parsed!$K$2:$K$190,(MATCH(A24,Data!$B$2:$B$22,0)-1)*9+MATCH("Politics",Parsed!$C$2:$C$10,0))=INDEX(Parsed!$H$2:$H$190,(MATCH(B24,Data!$B$2:$B$22,0)-1)*9+MATCH("Politics",Parsed!$C$2:$C$10,0)),INDEX(Parsed!$M$2:$M$190,(MATCH(A24,Data!$B$2:$B$22,0)-1)*9+MATCH("Politics",Parsed!$C$2:$C$10,0))*INDEX(Parsed!$I$2:$I$190,(MATCH(B24,Data!$B$2:$B$22,0)-1)*9+MATCH("Politics",Parsed!$C$2:$C$10,0)),0)+IF(INDEX(Parsed!$K$2:$K$190,(MATCH(A24,Data!$B$2:$B$22,0)-1)*9+MATCH("Marriage",Parsed!$C$2:$C$10,0))=INDEX(Parsed!$H$2:$H$190,(MATCH(B24,Data!$B$2:$B$22,0)-1)*9+MATCH("Marriage",Parsed!$C$2:$C$10,0)),INDEX(Parsed!$M$2:$M$190,(MATCH(A24,Data!$B$2:$B$22,0)-1)*9+MATCH("Marriage",Parsed!$C$2:$C$10,0))*INDEX(Parsed!$I$2:$I$190,(MATCH(B24,Data!$B$2:$B$22,0)-1)*9+MATCH("Marriage",Parsed!$C$2:$C$10,0)),0)+IF(INDEX(Parsed!$K$2:$K$190,(MATCH(A24,Data!$B$2:$B$22,0)-1)*9+MATCH("Children",Parsed!$C$2:$C$10,0))=INDEX(Parsed!$H$2:$H$190,(MATCH(B24,Data!$B$2:$B$22,0)-1)*9+MATCH("Children",Parsed!$C$2:$C$10,0)),INDEX(Parsed!$M$2:$M$190,(MATCH(A24,Data!$B$2:$B$22,0)-1)*9+MATCH("Children",Parsed!$C$2:$C$10,0))*INDEX(Parsed!$I$2:$I$190,(MATCH(B24,Data!$B$2:$B$22,0)-1)*9+MATCH("Children",Parsed!$C$2:$C$10,0)),0)+IF(INDEX(Parsed!$K$2:$K$190,(MATCH(A24,Data!$B$2:$B$22,0)-1)*9+MATCH("Ethicity",Parsed!$C$2:$C$10,0))=INDEX(Parsed!$H$2:$H$190,(MATCH(B24,Data!$B$2:$B$22,0)-1)*9+MATCH("Ethicity",Parsed!$C$2:$C$10,0)),INDEX(Parsed!$M$2:$M$190,(MATCH(A24,Data!$B$2:$B$22,0)-1)*9+MATCH("Ethicity",Parsed!$C$2:$C$10,0))*INDEX(Parsed!$I$2:$I$190,(MATCH(B24,Data!$B$2:$B$22,0)-1)*9+MATCH("Ethicity",Parsed!$C$2:$C$10,0)),0)+IF(INDEX(Parsed!$K$2:$K$190,(MATCH(A24,Data!$B$2:$B$22,0)-1)*9+MATCH("Past",Parsed!$C$2:$C$10,0))=INDEX(Parsed!$H$2:$H$190,(MATCH(B24,Data!$B$2:$B$22,0)-1)*9+MATCH("Past",Parsed!$C$2:$C$10,0)),INDEX(Parsed!$M$2:$M$190,(MATCH(A24,Data!$B$2:$B$22,0)-1)*9+MATCH("Past",Parsed!$C$2:$C$10,0))*INDEX(Parsed!$I$2:$I$190,(MATCH(B24,Data!$B$2:$B$22,0)-1)*9+MATCH("Past",Parsed!$C$2:$C$10,0)),0)+IF(INDEX(Parsed!$K$2:$K$190,(MATCH(A24,Data!$B$2:$B$22,0)-1)*9+MATCH("D/S",Parsed!$C$2:$C$10,0))=INDEX(Parsed!$H$2:$H$190,(MATCH(B24,Data!$B$2:$B$22,0)-1)*9+MATCH("D/S",Parsed!$C$2:$C$10,0)),INDEX(Parsed!$M$2:$M$190,(MATCH(A24,Data!$B$2:$B$22,0)-1)*9+MATCH("D/S",Parsed!$C$2:$C$10,0))*INDEX(Parsed!$I$2:$I$190,(MATCH(B24,Data!$B$2:$B$22,0)-1)*9+MATCH("D/S",Parsed!$C$2:$C$10,0)),0)+IF(INDEX(Parsed!$K$2:$K$190,(MATCH(A24,Data!$B$2:$B$22,0)-1)*9+MATCH("True/kind",Parsed!$C$2:$C$10,0))=INDEX(Parsed!$H$2:$H$190,(MATCH(B24,Data!$B$2:$B$22,0)-1)*9+MATCH("True/kind",Parsed!$C$2:$C$10,0)),INDEX(Parsed!$M$2:$M$190,(MATCH(A24,Data!$B$2:$B$22,0)-1)*9+MATCH("True/kind",Parsed!$C$2:$C$10,0))*INDEX(Parsed!$I$2:$I$190,(MATCH(B24,Data!$B$2:$B$22,0)-1)*9+MATCH("True/kind",Parsed!$C$2:$C$10,0)),0)+IF(INDEX(Parsed!$K$2:$K$190,(MATCH(A24,Data!$B$2:$B$22,0)-1)*9+MATCH("Animal",Parsed!$C$2:$C$10,0))=INDEX(Parsed!$H$2:$H$190,(MATCH(B24,Data!$B$2:$B$22,0)-1)*9+MATCH("Animal",Parsed!$C$2:$C$10,0)),INDEX(Parsed!$M$2:$M$190,(MATCH(A24,Data!$B$2:$B$22,0)-1)*9+MATCH("Animal",Parsed!$C$2:$C$10,0))*INDEX(Parsed!$I$2:$I$190,(MATCH(B24,Data!$B$2:$B$22,0)-1)*9+MATCH("Animal",Parsed!$C$2:$C$10,0)),0),0)</x:f>
        <x:v>63.75</x:v>
      </x:c>
      <x:c r="E24" s="11" t="n">
        <x:f>SQRT(C24*D24)</x:f>
        <x:v>48.072211307573525</x:v>
      </x:c>
    </x:row>
    <x:row r="25">
      <x:c r="A25" t="str">
        <x:v>liam</x:v>
      </x:c>
      <x:c r="B25" t="str">
        <x:v>edith</x:v>
      </x:c>
      <x:c r="C25" s="11" t="n">
        <x:f>IFERROR(IF(INDEX(Parsed!$K$2:$K$190,(MATCH(B25,Data!$B$2:$B$22,0)-1)*9+MATCH("God",Parsed!$C$2:$C$10,0))=INDEX(Parsed!$H$2:$H$190,(MATCH(A25,Data!$B$2:$B$22,0)-1)*9+MATCH("God",Parsed!$C$2:$C$10,0)),INDEX(Parsed!$M$2:$M$190,(MATCH(B25,Data!$B$2:$B$22,0)-1)*9+MATCH("God",Parsed!$C$2:$C$10,0))*INDEX(Parsed!$I$2:$I$190,(MATCH(A25,Data!$B$2:$B$22,0)-1)*9+MATCH("God",Parsed!$C$2:$C$10,0)),0)+IF(INDEX(Parsed!$K$2:$K$190,(MATCH(B25,Data!$B$2:$B$22,0)-1)*9+MATCH("Politics",Parsed!$C$2:$C$10,0))=INDEX(Parsed!$H$2:$H$190,(MATCH(A25,Data!$B$2:$B$22,0)-1)*9+MATCH("Politics",Parsed!$C$2:$C$10,0)),INDEX(Parsed!$M$2:$M$190,(MATCH(B25,Data!$B$2:$B$22,0)-1)*9+MATCH("Politics",Parsed!$C$2:$C$10,0))*INDEX(Parsed!$I$2:$I$190,(MATCH(A25,Data!$B$2:$B$22,0)-1)*9+MATCH("Politics",Parsed!$C$2:$C$10,0)),0)+IF(INDEX(Parsed!$K$2:$K$190,(MATCH(B25,Data!$B$2:$B$22,0)-1)*9+MATCH("Marriage",Parsed!$C$2:$C$10,0))=INDEX(Parsed!$H$2:$H$190,(MATCH(A25,Data!$B$2:$B$22,0)-1)*9+MATCH("Marriage",Parsed!$C$2:$C$10,0)),INDEX(Parsed!$M$2:$M$190,(MATCH(B25,Data!$B$2:$B$22,0)-1)*9+MATCH("Marriage",Parsed!$C$2:$C$10,0))*INDEX(Parsed!$I$2:$I$190,(MATCH(A25,Data!$B$2:$B$22,0)-1)*9+MATCH("Marriage",Parsed!$C$2:$C$10,0)),0)+IF(INDEX(Parsed!$K$2:$K$190,(MATCH(B25,Data!$B$2:$B$22,0)-1)*9+MATCH("Children",Parsed!$C$2:$C$10,0))=INDEX(Parsed!$H$2:$H$190,(MATCH(A25,Data!$B$2:$B$22,0)-1)*9+MATCH("Children",Parsed!$C$2:$C$10,0)),INDEX(Parsed!$M$2:$M$190,(MATCH(B25,Data!$B$2:$B$22,0)-1)*9+MATCH("Children",Parsed!$C$2:$C$10,0))*INDEX(Parsed!$I$2:$I$190,(MATCH(A25,Data!$B$2:$B$22,0)-1)*9+MATCH("Children",Parsed!$C$2:$C$10,0)),0)+IF(INDEX(Parsed!$K$2:$K$190,(MATCH(B25,Data!$B$2:$B$22,0)-1)*9+MATCH("Ethicity",Parsed!$C$2:$C$10,0))=INDEX(Parsed!$H$2:$H$190,(MATCH(A25,Data!$B$2:$B$22,0)-1)*9+MATCH("Ethicity",Parsed!$C$2:$C$10,0)),INDEX(Parsed!$M$2:$M$190,(MATCH(B25,Data!$B$2:$B$22,0)-1)*9+MATCH("Ethicity",Parsed!$C$2:$C$10,0))*INDEX(Parsed!$I$2:$I$190,(MATCH(A25,Data!$B$2:$B$22,0)-1)*9+MATCH("Ethicity",Parsed!$C$2:$C$10,0)),0)+IF(INDEX(Parsed!$K$2:$K$190,(MATCH(B25,Data!$B$2:$B$22,0)-1)*9+MATCH("Past",Parsed!$C$2:$C$10,0))=INDEX(Parsed!$H$2:$H$190,(MATCH(A25,Data!$B$2:$B$22,0)-1)*9+MATCH("Past",Parsed!$C$2:$C$10,0)),INDEX(Parsed!$M$2:$M$190,(MATCH(B25,Data!$B$2:$B$22,0)-1)*9+MATCH("Past",Parsed!$C$2:$C$10,0))*INDEX(Parsed!$I$2:$I$190,(MATCH(A25,Data!$B$2:$B$22,0)-1)*9+MATCH("Past",Parsed!$C$2:$C$10,0)),0)+IF(INDEX(Parsed!$K$2:$K$190,(MATCH(B25,Data!$B$2:$B$22,0)-1)*9+MATCH("D/S",Parsed!$C$2:$C$10,0))=INDEX(Parsed!$H$2:$H$190,(MATCH(A25,Data!$B$2:$B$22,0)-1)*9+MATCH("D/S",Parsed!$C$2:$C$10,0)),INDEX(Parsed!$M$2:$M$190,(MATCH(B25,Data!$B$2:$B$22,0)-1)*9+MATCH("D/S",Parsed!$C$2:$C$10,0))*INDEX(Parsed!$I$2:$I$190,(MATCH(A25,Data!$B$2:$B$22,0)-1)*9+MATCH("D/S",Parsed!$C$2:$C$10,0)),0)+IF(INDEX(Parsed!$K$2:$K$190,(MATCH(B25,Data!$B$2:$B$22,0)-1)*9+MATCH("True/kind",Parsed!$C$2:$C$10,0))=INDEX(Parsed!$H$2:$H$190,(MATCH(A25,Data!$B$2:$B$22,0)-1)*9+MATCH("True/kind",Parsed!$C$2:$C$10,0)),INDEX(Parsed!$M$2:$M$190,(MATCH(B25,Data!$B$2:$B$22,0)-1)*9+MATCH("True/kind",Parsed!$C$2:$C$10,0))*INDEX(Parsed!$I$2:$I$190,(MATCH(A25,Data!$B$2:$B$22,0)-1)*9+MATCH("True/kind",Parsed!$C$2:$C$10,0)),0)+IF(INDEX(Parsed!$K$2:$K$190,(MATCH(B25,Data!$B$2:$B$22,0)-1)*9+MATCH("Animal",Parsed!$C$2:$C$10,0))=INDEX(Parsed!$H$2:$H$190,(MATCH(A25,Data!$B$2:$B$22,0)-1)*9+MATCH("Animal",Parsed!$C$2:$C$10,0)),INDEX(Parsed!$M$2:$M$190,(MATCH(B25,Data!$B$2:$B$22,0)-1)*9+MATCH("Animal",Parsed!$C$2:$C$10,0))*INDEX(Parsed!$I$2:$I$190,(MATCH(A25,Data!$B$2:$B$22,0)-1)*9+MATCH("Animal",Parsed!$C$2:$C$10,0)),0),0)</x:f>
        <x:v>83.75</x:v>
      </x:c>
      <x:c r="D25" s="11" t="n">
        <x:f>IFERROR(IF(INDEX(Parsed!$K$2:$K$190,(MATCH(A25,Data!$B$2:$B$22,0)-1)*9+MATCH("God",Parsed!$C$2:$C$10,0))=INDEX(Parsed!$H$2:$H$190,(MATCH(B25,Data!$B$2:$B$22,0)-1)*9+MATCH("God",Parsed!$C$2:$C$10,0)),INDEX(Parsed!$M$2:$M$190,(MATCH(A25,Data!$B$2:$B$22,0)-1)*9+MATCH("God",Parsed!$C$2:$C$10,0))*INDEX(Parsed!$I$2:$I$190,(MATCH(B25,Data!$B$2:$B$22,0)-1)*9+MATCH("God",Parsed!$C$2:$C$10,0)),0)+IF(INDEX(Parsed!$K$2:$K$190,(MATCH(A25,Data!$B$2:$B$22,0)-1)*9+MATCH("Politics",Parsed!$C$2:$C$10,0))=INDEX(Parsed!$H$2:$H$190,(MATCH(B25,Data!$B$2:$B$22,0)-1)*9+MATCH("Politics",Parsed!$C$2:$C$10,0)),INDEX(Parsed!$M$2:$M$190,(MATCH(A25,Data!$B$2:$B$22,0)-1)*9+MATCH("Politics",Parsed!$C$2:$C$10,0))*INDEX(Parsed!$I$2:$I$190,(MATCH(B25,Data!$B$2:$B$22,0)-1)*9+MATCH("Politics",Parsed!$C$2:$C$10,0)),0)+IF(INDEX(Parsed!$K$2:$K$190,(MATCH(A25,Data!$B$2:$B$22,0)-1)*9+MATCH("Marriage",Parsed!$C$2:$C$10,0))=INDEX(Parsed!$H$2:$H$190,(MATCH(B25,Data!$B$2:$B$22,0)-1)*9+MATCH("Marriage",Parsed!$C$2:$C$10,0)),INDEX(Parsed!$M$2:$M$190,(MATCH(A25,Data!$B$2:$B$22,0)-1)*9+MATCH("Marriage",Parsed!$C$2:$C$10,0))*INDEX(Parsed!$I$2:$I$190,(MATCH(B25,Data!$B$2:$B$22,0)-1)*9+MATCH("Marriage",Parsed!$C$2:$C$10,0)),0)+IF(INDEX(Parsed!$K$2:$K$190,(MATCH(A25,Data!$B$2:$B$22,0)-1)*9+MATCH("Children",Parsed!$C$2:$C$10,0))=INDEX(Parsed!$H$2:$H$190,(MATCH(B25,Data!$B$2:$B$22,0)-1)*9+MATCH("Children",Parsed!$C$2:$C$10,0)),INDEX(Parsed!$M$2:$M$190,(MATCH(A25,Data!$B$2:$B$22,0)-1)*9+MATCH("Children",Parsed!$C$2:$C$10,0))*INDEX(Parsed!$I$2:$I$190,(MATCH(B25,Data!$B$2:$B$22,0)-1)*9+MATCH("Children",Parsed!$C$2:$C$10,0)),0)+IF(INDEX(Parsed!$K$2:$K$190,(MATCH(A25,Data!$B$2:$B$22,0)-1)*9+MATCH("Ethicity",Parsed!$C$2:$C$10,0))=INDEX(Parsed!$H$2:$H$190,(MATCH(B25,Data!$B$2:$B$22,0)-1)*9+MATCH("Ethicity",Parsed!$C$2:$C$10,0)),INDEX(Parsed!$M$2:$M$190,(MATCH(A25,Data!$B$2:$B$22,0)-1)*9+MATCH("Ethicity",Parsed!$C$2:$C$10,0))*INDEX(Parsed!$I$2:$I$190,(MATCH(B25,Data!$B$2:$B$22,0)-1)*9+MATCH("Ethicity",Parsed!$C$2:$C$10,0)),0)+IF(INDEX(Parsed!$K$2:$K$190,(MATCH(A25,Data!$B$2:$B$22,0)-1)*9+MATCH("Past",Parsed!$C$2:$C$10,0))=INDEX(Parsed!$H$2:$H$190,(MATCH(B25,Data!$B$2:$B$22,0)-1)*9+MATCH("Past",Parsed!$C$2:$C$10,0)),INDEX(Parsed!$M$2:$M$190,(MATCH(A25,Data!$B$2:$B$22,0)-1)*9+MATCH("Past",Parsed!$C$2:$C$10,0))*INDEX(Parsed!$I$2:$I$190,(MATCH(B25,Data!$B$2:$B$22,0)-1)*9+MATCH("Past",Parsed!$C$2:$C$10,0)),0)+IF(INDEX(Parsed!$K$2:$K$190,(MATCH(A25,Data!$B$2:$B$22,0)-1)*9+MATCH("D/S",Parsed!$C$2:$C$10,0))=INDEX(Parsed!$H$2:$H$190,(MATCH(B25,Data!$B$2:$B$22,0)-1)*9+MATCH("D/S",Parsed!$C$2:$C$10,0)),INDEX(Parsed!$M$2:$M$190,(MATCH(A25,Data!$B$2:$B$22,0)-1)*9+MATCH("D/S",Parsed!$C$2:$C$10,0))*INDEX(Parsed!$I$2:$I$190,(MATCH(B25,Data!$B$2:$B$22,0)-1)*9+MATCH("D/S",Parsed!$C$2:$C$10,0)),0)+IF(INDEX(Parsed!$K$2:$K$190,(MATCH(A25,Data!$B$2:$B$22,0)-1)*9+MATCH("True/kind",Parsed!$C$2:$C$10,0))=INDEX(Parsed!$H$2:$H$190,(MATCH(B25,Data!$B$2:$B$22,0)-1)*9+MATCH("True/kind",Parsed!$C$2:$C$10,0)),INDEX(Parsed!$M$2:$M$190,(MATCH(A25,Data!$B$2:$B$22,0)-1)*9+MATCH("True/kind",Parsed!$C$2:$C$10,0))*INDEX(Parsed!$I$2:$I$190,(MATCH(B25,Data!$B$2:$B$22,0)-1)*9+MATCH("True/kind",Parsed!$C$2:$C$10,0)),0)+IF(INDEX(Parsed!$K$2:$K$190,(MATCH(A25,Data!$B$2:$B$22,0)-1)*9+MATCH("Animal",Parsed!$C$2:$C$10,0))=INDEX(Parsed!$H$2:$H$190,(MATCH(B25,Data!$B$2:$B$22,0)-1)*9+MATCH("Animal",Parsed!$C$2:$C$10,0)),INDEX(Parsed!$M$2:$M$190,(MATCH(A25,Data!$B$2:$B$22,0)-1)*9+MATCH("Animal",Parsed!$C$2:$C$10,0))*INDEX(Parsed!$I$2:$I$190,(MATCH(B25,Data!$B$2:$B$22,0)-1)*9+MATCH("Animal",Parsed!$C$2:$C$10,0)),0),0)</x:f>
        <x:v>70</x:v>
      </x:c>
      <x:c r="E25" s="11" t="n">
        <x:f>SQRT(C25*D25)</x:f>
        <x:v>76.56696415556777</x:v>
      </x:c>
    </x:row>
    <x:row r="26">
      <x:c r="A26" t="str">
        <x:v>liam</x:v>
      </x:c>
      <x:c r="B26" t="str">
        <x:v>sophiah</x:v>
      </x:c>
      <x:c r="C26" s="11" t="n">
        <x:f>IFERROR(IF(INDEX(Parsed!$K$2:$K$190,(MATCH(B26,Data!$B$2:$B$22,0)-1)*9+MATCH("God",Parsed!$C$2:$C$10,0))=INDEX(Parsed!$H$2:$H$190,(MATCH(A26,Data!$B$2:$B$22,0)-1)*9+MATCH("God",Parsed!$C$2:$C$10,0)),INDEX(Parsed!$M$2:$M$190,(MATCH(B26,Data!$B$2:$B$22,0)-1)*9+MATCH("God",Parsed!$C$2:$C$10,0))*INDEX(Parsed!$I$2:$I$190,(MATCH(A26,Data!$B$2:$B$22,0)-1)*9+MATCH("God",Parsed!$C$2:$C$10,0)),0)+IF(INDEX(Parsed!$K$2:$K$190,(MATCH(B26,Data!$B$2:$B$22,0)-1)*9+MATCH("Politics",Parsed!$C$2:$C$10,0))=INDEX(Parsed!$H$2:$H$190,(MATCH(A26,Data!$B$2:$B$22,0)-1)*9+MATCH("Politics",Parsed!$C$2:$C$10,0)),INDEX(Parsed!$M$2:$M$190,(MATCH(B26,Data!$B$2:$B$22,0)-1)*9+MATCH("Politics",Parsed!$C$2:$C$10,0))*INDEX(Parsed!$I$2:$I$190,(MATCH(A26,Data!$B$2:$B$22,0)-1)*9+MATCH("Politics",Parsed!$C$2:$C$10,0)),0)+IF(INDEX(Parsed!$K$2:$K$190,(MATCH(B26,Data!$B$2:$B$22,0)-1)*9+MATCH("Marriage",Parsed!$C$2:$C$10,0))=INDEX(Parsed!$H$2:$H$190,(MATCH(A26,Data!$B$2:$B$22,0)-1)*9+MATCH("Marriage",Parsed!$C$2:$C$10,0)),INDEX(Parsed!$M$2:$M$190,(MATCH(B26,Data!$B$2:$B$22,0)-1)*9+MATCH("Marriage",Parsed!$C$2:$C$10,0))*INDEX(Parsed!$I$2:$I$190,(MATCH(A26,Data!$B$2:$B$22,0)-1)*9+MATCH("Marriage",Parsed!$C$2:$C$10,0)),0)+IF(INDEX(Parsed!$K$2:$K$190,(MATCH(B26,Data!$B$2:$B$22,0)-1)*9+MATCH("Children",Parsed!$C$2:$C$10,0))=INDEX(Parsed!$H$2:$H$190,(MATCH(A26,Data!$B$2:$B$22,0)-1)*9+MATCH("Children",Parsed!$C$2:$C$10,0)),INDEX(Parsed!$M$2:$M$190,(MATCH(B26,Data!$B$2:$B$22,0)-1)*9+MATCH("Children",Parsed!$C$2:$C$10,0))*INDEX(Parsed!$I$2:$I$190,(MATCH(A26,Data!$B$2:$B$22,0)-1)*9+MATCH("Children",Parsed!$C$2:$C$10,0)),0)+IF(INDEX(Parsed!$K$2:$K$190,(MATCH(B26,Data!$B$2:$B$22,0)-1)*9+MATCH("Ethicity",Parsed!$C$2:$C$10,0))=INDEX(Parsed!$H$2:$H$190,(MATCH(A26,Data!$B$2:$B$22,0)-1)*9+MATCH("Ethicity",Parsed!$C$2:$C$10,0)),INDEX(Parsed!$M$2:$M$190,(MATCH(B26,Data!$B$2:$B$22,0)-1)*9+MATCH("Ethicity",Parsed!$C$2:$C$10,0))*INDEX(Parsed!$I$2:$I$190,(MATCH(A26,Data!$B$2:$B$22,0)-1)*9+MATCH("Ethicity",Parsed!$C$2:$C$10,0)),0)+IF(INDEX(Parsed!$K$2:$K$190,(MATCH(B26,Data!$B$2:$B$22,0)-1)*9+MATCH("Past",Parsed!$C$2:$C$10,0))=INDEX(Parsed!$H$2:$H$190,(MATCH(A26,Data!$B$2:$B$22,0)-1)*9+MATCH("Past",Parsed!$C$2:$C$10,0)),INDEX(Parsed!$M$2:$M$190,(MATCH(B26,Data!$B$2:$B$22,0)-1)*9+MATCH("Past",Parsed!$C$2:$C$10,0))*INDEX(Parsed!$I$2:$I$190,(MATCH(A26,Data!$B$2:$B$22,0)-1)*9+MATCH("Past",Parsed!$C$2:$C$10,0)),0)+IF(INDEX(Parsed!$K$2:$K$190,(MATCH(B26,Data!$B$2:$B$22,0)-1)*9+MATCH("D/S",Parsed!$C$2:$C$10,0))=INDEX(Parsed!$H$2:$H$190,(MATCH(A26,Data!$B$2:$B$22,0)-1)*9+MATCH("D/S",Parsed!$C$2:$C$10,0)),INDEX(Parsed!$M$2:$M$190,(MATCH(B26,Data!$B$2:$B$22,0)-1)*9+MATCH("D/S",Parsed!$C$2:$C$10,0))*INDEX(Parsed!$I$2:$I$190,(MATCH(A26,Data!$B$2:$B$22,0)-1)*9+MATCH("D/S",Parsed!$C$2:$C$10,0)),0)+IF(INDEX(Parsed!$K$2:$K$190,(MATCH(B26,Data!$B$2:$B$22,0)-1)*9+MATCH("True/kind",Parsed!$C$2:$C$10,0))=INDEX(Parsed!$H$2:$H$190,(MATCH(A26,Data!$B$2:$B$22,0)-1)*9+MATCH("True/kind",Parsed!$C$2:$C$10,0)),INDEX(Parsed!$M$2:$M$190,(MATCH(B26,Data!$B$2:$B$22,0)-1)*9+MATCH("True/kind",Parsed!$C$2:$C$10,0))*INDEX(Parsed!$I$2:$I$190,(MATCH(A26,Data!$B$2:$B$22,0)-1)*9+MATCH("True/kind",Parsed!$C$2:$C$10,0)),0)+IF(INDEX(Parsed!$K$2:$K$190,(MATCH(B26,Data!$B$2:$B$22,0)-1)*9+MATCH("Animal",Parsed!$C$2:$C$10,0))=INDEX(Parsed!$H$2:$H$190,(MATCH(A26,Data!$B$2:$B$22,0)-1)*9+MATCH("Animal",Parsed!$C$2:$C$10,0)),INDEX(Parsed!$M$2:$M$190,(MATCH(B26,Data!$B$2:$B$22,0)-1)*9+MATCH("Animal",Parsed!$C$2:$C$10,0))*INDEX(Parsed!$I$2:$I$190,(MATCH(A26,Data!$B$2:$B$22,0)-1)*9+MATCH("Animal",Parsed!$C$2:$C$10,0)),0),0)</x:f>
        <x:v>63.75</x:v>
      </x:c>
      <x:c r="D26" s="11" t="n">
        <x:f>IFERROR(IF(INDEX(Parsed!$K$2:$K$190,(MATCH(A26,Data!$B$2:$B$22,0)-1)*9+MATCH("God",Parsed!$C$2:$C$10,0))=INDEX(Parsed!$H$2:$H$190,(MATCH(B26,Data!$B$2:$B$22,0)-1)*9+MATCH("God",Parsed!$C$2:$C$10,0)),INDEX(Parsed!$M$2:$M$190,(MATCH(A26,Data!$B$2:$B$22,0)-1)*9+MATCH("God",Parsed!$C$2:$C$10,0))*INDEX(Parsed!$I$2:$I$190,(MATCH(B26,Data!$B$2:$B$22,0)-1)*9+MATCH("God",Parsed!$C$2:$C$10,0)),0)+IF(INDEX(Parsed!$K$2:$K$190,(MATCH(A26,Data!$B$2:$B$22,0)-1)*9+MATCH("Politics",Parsed!$C$2:$C$10,0))=INDEX(Parsed!$H$2:$H$190,(MATCH(B26,Data!$B$2:$B$22,0)-1)*9+MATCH("Politics",Parsed!$C$2:$C$10,0)),INDEX(Parsed!$M$2:$M$190,(MATCH(A26,Data!$B$2:$B$22,0)-1)*9+MATCH("Politics",Parsed!$C$2:$C$10,0))*INDEX(Parsed!$I$2:$I$190,(MATCH(B26,Data!$B$2:$B$22,0)-1)*9+MATCH("Politics",Parsed!$C$2:$C$10,0)),0)+IF(INDEX(Parsed!$K$2:$K$190,(MATCH(A26,Data!$B$2:$B$22,0)-1)*9+MATCH("Marriage",Parsed!$C$2:$C$10,0))=INDEX(Parsed!$H$2:$H$190,(MATCH(B26,Data!$B$2:$B$22,0)-1)*9+MATCH("Marriage",Parsed!$C$2:$C$10,0)),INDEX(Parsed!$M$2:$M$190,(MATCH(A26,Data!$B$2:$B$22,0)-1)*9+MATCH("Marriage",Parsed!$C$2:$C$10,0))*INDEX(Parsed!$I$2:$I$190,(MATCH(B26,Data!$B$2:$B$22,0)-1)*9+MATCH("Marriage",Parsed!$C$2:$C$10,0)),0)+IF(INDEX(Parsed!$K$2:$K$190,(MATCH(A26,Data!$B$2:$B$22,0)-1)*9+MATCH("Children",Parsed!$C$2:$C$10,0))=INDEX(Parsed!$H$2:$H$190,(MATCH(B26,Data!$B$2:$B$22,0)-1)*9+MATCH("Children",Parsed!$C$2:$C$10,0)),INDEX(Parsed!$M$2:$M$190,(MATCH(A26,Data!$B$2:$B$22,0)-1)*9+MATCH("Children",Parsed!$C$2:$C$10,0))*INDEX(Parsed!$I$2:$I$190,(MATCH(B26,Data!$B$2:$B$22,0)-1)*9+MATCH("Children",Parsed!$C$2:$C$10,0)),0)+IF(INDEX(Parsed!$K$2:$K$190,(MATCH(A26,Data!$B$2:$B$22,0)-1)*9+MATCH("Ethicity",Parsed!$C$2:$C$10,0))=INDEX(Parsed!$H$2:$H$190,(MATCH(B26,Data!$B$2:$B$22,0)-1)*9+MATCH("Ethicity",Parsed!$C$2:$C$10,0)),INDEX(Parsed!$M$2:$M$190,(MATCH(A26,Data!$B$2:$B$22,0)-1)*9+MATCH("Ethicity",Parsed!$C$2:$C$10,0))*INDEX(Parsed!$I$2:$I$190,(MATCH(B26,Data!$B$2:$B$22,0)-1)*9+MATCH("Ethicity",Parsed!$C$2:$C$10,0)),0)+IF(INDEX(Parsed!$K$2:$K$190,(MATCH(A26,Data!$B$2:$B$22,0)-1)*9+MATCH("Past",Parsed!$C$2:$C$10,0))=INDEX(Parsed!$H$2:$H$190,(MATCH(B26,Data!$B$2:$B$22,0)-1)*9+MATCH("Past",Parsed!$C$2:$C$10,0)),INDEX(Parsed!$M$2:$M$190,(MATCH(A26,Data!$B$2:$B$22,0)-1)*9+MATCH("Past",Parsed!$C$2:$C$10,0))*INDEX(Parsed!$I$2:$I$190,(MATCH(B26,Data!$B$2:$B$22,0)-1)*9+MATCH("Past",Parsed!$C$2:$C$10,0)),0)+IF(INDEX(Parsed!$K$2:$K$190,(MATCH(A26,Data!$B$2:$B$22,0)-1)*9+MATCH("D/S",Parsed!$C$2:$C$10,0))=INDEX(Parsed!$H$2:$H$190,(MATCH(B26,Data!$B$2:$B$22,0)-1)*9+MATCH("D/S",Parsed!$C$2:$C$10,0)),INDEX(Parsed!$M$2:$M$190,(MATCH(A26,Data!$B$2:$B$22,0)-1)*9+MATCH("D/S",Parsed!$C$2:$C$10,0))*INDEX(Parsed!$I$2:$I$190,(MATCH(B26,Data!$B$2:$B$22,0)-1)*9+MATCH("D/S",Parsed!$C$2:$C$10,0)),0)+IF(INDEX(Parsed!$K$2:$K$190,(MATCH(A26,Data!$B$2:$B$22,0)-1)*9+MATCH("True/kind",Parsed!$C$2:$C$10,0))=INDEX(Parsed!$H$2:$H$190,(MATCH(B26,Data!$B$2:$B$22,0)-1)*9+MATCH("True/kind",Parsed!$C$2:$C$10,0)),INDEX(Parsed!$M$2:$M$190,(MATCH(A26,Data!$B$2:$B$22,0)-1)*9+MATCH("True/kind",Parsed!$C$2:$C$10,0))*INDEX(Parsed!$I$2:$I$190,(MATCH(B26,Data!$B$2:$B$22,0)-1)*9+MATCH("True/kind",Parsed!$C$2:$C$10,0)),0)+IF(INDEX(Parsed!$K$2:$K$190,(MATCH(A26,Data!$B$2:$B$22,0)-1)*9+MATCH("Animal",Parsed!$C$2:$C$10,0))=INDEX(Parsed!$H$2:$H$190,(MATCH(B26,Data!$B$2:$B$22,0)-1)*9+MATCH("Animal",Parsed!$C$2:$C$10,0)),INDEX(Parsed!$M$2:$M$190,(MATCH(A26,Data!$B$2:$B$22,0)-1)*9+MATCH("Animal",Parsed!$C$2:$C$10,0))*INDEX(Parsed!$I$2:$I$190,(MATCH(B26,Data!$B$2:$B$22,0)-1)*9+MATCH("Animal",Parsed!$C$2:$C$10,0)),0),0)</x:f>
        <x:v>63.75</x:v>
      </x:c>
      <x:c r="E26" s="11" t="n">
        <x:f>SQRT(C26*D26)</x:f>
        <x:v>63.75</x:v>
      </x:c>
    </x:row>
    <x:row r="27">
      <x:c r="A27" t="str">
        <x:v>liam</x:v>
      </x:c>
      <x:c r="B27" t="str">
        <x:v>angela</x:v>
      </x:c>
      <x:c r="C27" s="11" t="n">
        <x:f>IFERROR(IF(INDEX(Parsed!$K$2:$K$190,(MATCH(B27,Data!$B$2:$B$22,0)-1)*9+MATCH("God",Parsed!$C$2:$C$10,0))=INDEX(Parsed!$H$2:$H$190,(MATCH(A27,Data!$B$2:$B$22,0)-1)*9+MATCH("God",Parsed!$C$2:$C$10,0)),INDEX(Parsed!$M$2:$M$190,(MATCH(B27,Data!$B$2:$B$22,0)-1)*9+MATCH("God",Parsed!$C$2:$C$10,0))*INDEX(Parsed!$I$2:$I$190,(MATCH(A27,Data!$B$2:$B$22,0)-1)*9+MATCH("God",Parsed!$C$2:$C$10,0)),0)+IF(INDEX(Parsed!$K$2:$K$190,(MATCH(B27,Data!$B$2:$B$22,0)-1)*9+MATCH("Politics",Parsed!$C$2:$C$10,0))=INDEX(Parsed!$H$2:$H$190,(MATCH(A27,Data!$B$2:$B$22,0)-1)*9+MATCH("Politics",Parsed!$C$2:$C$10,0)),INDEX(Parsed!$M$2:$M$190,(MATCH(B27,Data!$B$2:$B$22,0)-1)*9+MATCH("Politics",Parsed!$C$2:$C$10,0))*INDEX(Parsed!$I$2:$I$190,(MATCH(A27,Data!$B$2:$B$22,0)-1)*9+MATCH("Politics",Parsed!$C$2:$C$10,0)),0)+IF(INDEX(Parsed!$K$2:$K$190,(MATCH(B27,Data!$B$2:$B$22,0)-1)*9+MATCH("Marriage",Parsed!$C$2:$C$10,0))=INDEX(Parsed!$H$2:$H$190,(MATCH(A27,Data!$B$2:$B$22,0)-1)*9+MATCH("Marriage",Parsed!$C$2:$C$10,0)),INDEX(Parsed!$M$2:$M$190,(MATCH(B27,Data!$B$2:$B$22,0)-1)*9+MATCH("Marriage",Parsed!$C$2:$C$10,0))*INDEX(Parsed!$I$2:$I$190,(MATCH(A27,Data!$B$2:$B$22,0)-1)*9+MATCH("Marriage",Parsed!$C$2:$C$10,0)),0)+IF(INDEX(Parsed!$K$2:$K$190,(MATCH(B27,Data!$B$2:$B$22,0)-1)*9+MATCH("Children",Parsed!$C$2:$C$10,0))=INDEX(Parsed!$H$2:$H$190,(MATCH(A27,Data!$B$2:$B$22,0)-1)*9+MATCH("Children",Parsed!$C$2:$C$10,0)),INDEX(Parsed!$M$2:$M$190,(MATCH(B27,Data!$B$2:$B$22,0)-1)*9+MATCH("Children",Parsed!$C$2:$C$10,0))*INDEX(Parsed!$I$2:$I$190,(MATCH(A27,Data!$B$2:$B$22,0)-1)*9+MATCH("Children",Parsed!$C$2:$C$10,0)),0)+IF(INDEX(Parsed!$K$2:$K$190,(MATCH(B27,Data!$B$2:$B$22,0)-1)*9+MATCH("Ethicity",Parsed!$C$2:$C$10,0))=INDEX(Parsed!$H$2:$H$190,(MATCH(A27,Data!$B$2:$B$22,0)-1)*9+MATCH("Ethicity",Parsed!$C$2:$C$10,0)),INDEX(Parsed!$M$2:$M$190,(MATCH(B27,Data!$B$2:$B$22,0)-1)*9+MATCH("Ethicity",Parsed!$C$2:$C$10,0))*INDEX(Parsed!$I$2:$I$190,(MATCH(A27,Data!$B$2:$B$22,0)-1)*9+MATCH("Ethicity",Parsed!$C$2:$C$10,0)),0)+IF(INDEX(Parsed!$K$2:$K$190,(MATCH(B27,Data!$B$2:$B$22,0)-1)*9+MATCH("Past",Parsed!$C$2:$C$10,0))=INDEX(Parsed!$H$2:$H$190,(MATCH(A27,Data!$B$2:$B$22,0)-1)*9+MATCH("Past",Parsed!$C$2:$C$10,0)),INDEX(Parsed!$M$2:$M$190,(MATCH(B27,Data!$B$2:$B$22,0)-1)*9+MATCH("Past",Parsed!$C$2:$C$10,0))*INDEX(Parsed!$I$2:$I$190,(MATCH(A27,Data!$B$2:$B$22,0)-1)*9+MATCH("Past",Parsed!$C$2:$C$10,0)),0)+IF(INDEX(Parsed!$K$2:$K$190,(MATCH(B27,Data!$B$2:$B$22,0)-1)*9+MATCH("D/S",Parsed!$C$2:$C$10,0))=INDEX(Parsed!$H$2:$H$190,(MATCH(A27,Data!$B$2:$B$22,0)-1)*9+MATCH("D/S",Parsed!$C$2:$C$10,0)),INDEX(Parsed!$M$2:$M$190,(MATCH(B27,Data!$B$2:$B$22,0)-1)*9+MATCH("D/S",Parsed!$C$2:$C$10,0))*INDEX(Parsed!$I$2:$I$190,(MATCH(A27,Data!$B$2:$B$22,0)-1)*9+MATCH("D/S",Parsed!$C$2:$C$10,0)),0)+IF(INDEX(Parsed!$K$2:$K$190,(MATCH(B27,Data!$B$2:$B$22,0)-1)*9+MATCH("True/kind",Parsed!$C$2:$C$10,0))=INDEX(Parsed!$H$2:$H$190,(MATCH(A27,Data!$B$2:$B$22,0)-1)*9+MATCH("True/kind",Parsed!$C$2:$C$10,0)),INDEX(Parsed!$M$2:$M$190,(MATCH(B27,Data!$B$2:$B$22,0)-1)*9+MATCH("True/kind",Parsed!$C$2:$C$10,0))*INDEX(Parsed!$I$2:$I$190,(MATCH(A27,Data!$B$2:$B$22,0)-1)*9+MATCH("True/kind",Parsed!$C$2:$C$10,0)),0)+IF(INDEX(Parsed!$K$2:$K$190,(MATCH(B27,Data!$B$2:$B$22,0)-1)*9+MATCH("Animal",Parsed!$C$2:$C$10,0))=INDEX(Parsed!$H$2:$H$190,(MATCH(A27,Data!$B$2:$B$22,0)-1)*9+MATCH("Animal",Parsed!$C$2:$C$10,0)),INDEX(Parsed!$M$2:$M$190,(MATCH(B27,Data!$B$2:$B$22,0)-1)*9+MATCH("Animal",Parsed!$C$2:$C$10,0))*INDEX(Parsed!$I$2:$I$190,(MATCH(A27,Data!$B$2:$B$22,0)-1)*9+MATCH("Animal",Parsed!$C$2:$C$10,0)),0),0)</x:f>
        <x:v>70</x:v>
      </x:c>
      <x:c r="D27" s="11" t="n">
        <x:f>IFERROR(IF(INDEX(Parsed!$K$2:$K$190,(MATCH(A27,Data!$B$2:$B$22,0)-1)*9+MATCH("God",Parsed!$C$2:$C$10,0))=INDEX(Parsed!$H$2:$H$190,(MATCH(B27,Data!$B$2:$B$22,0)-1)*9+MATCH("God",Parsed!$C$2:$C$10,0)),INDEX(Parsed!$M$2:$M$190,(MATCH(A27,Data!$B$2:$B$22,0)-1)*9+MATCH("God",Parsed!$C$2:$C$10,0))*INDEX(Parsed!$I$2:$I$190,(MATCH(B27,Data!$B$2:$B$22,0)-1)*9+MATCH("God",Parsed!$C$2:$C$10,0)),0)+IF(INDEX(Parsed!$K$2:$K$190,(MATCH(A27,Data!$B$2:$B$22,0)-1)*9+MATCH("Politics",Parsed!$C$2:$C$10,0))=INDEX(Parsed!$H$2:$H$190,(MATCH(B27,Data!$B$2:$B$22,0)-1)*9+MATCH("Politics",Parsed!$C$2:$C$10,0)),INDEX(Parsed!$M$2:$M$190,(MATCH(A27,Data!$B$2:$B$22,0)-1)*9+MATCH("Politics",Parsed!$C$2:$C$10,0))*INDEX(Parsed!$I$2:$I$190,(MATCH(B27,Data!$B$2:$B$22,0)-1)*9+MATCH("Politics",Parsed!$C$2:$C$10,0)),0)+IF(INDEX(Parsed!$K$2:$K$190,(MATCH(A27,Data!$B$2:$B$22,0)-1)*9+MATCH("Marriage",Parsed!$C$2:$C$10,0))=INDEX(Parsed!$H$2:$H$190,(MATCH(B27,Data!$B$2:$B$22,0)-1)*9+MATCH("Marriage",Parsed!$C$2:$C$10,0)),INDEX(Parsed!$M$2:$M$190,(MATCH(A27,Data!$B$2:$B$22,0)-1)*9+MATCH("Marriage",Parsed!$C$2:$C$10,0))*INDEX(Parsed!$I$2:$I$190,(MATCH(B27,Data!$B$2:$B$22,0)-1)*9+MATCH("Marriage",Parsed!$C$2:$C$10,0)),0)+IF(INDEX(Parsed!$K$2:$K$190,(MATCH(A27,Data!$B$2:$B$22,0)-1)*9+MATCH("Children",Parsed!$C$2:$C$10,0))=INDEX(Parsed!$H$2:$H$190,(MATCH(B27,Data!$B$2:$B$22,0)-1)*9+MATCH("Children",Parsed!$C$2:$C$10,0)),INDEX(Parsed!$M$2:$M$190,(MATCH(A27,Data!$B$2:$B$22,0)-1)*9+MATCH("Children",Parsed!$C$2:$C$10,0))*INDEX(Parsed!$I$2:$I$190,(MATCH(B27,Data!$B$2:$B$22,0)-1)*9+MATCH("Children",Parsed!$C$2:$C$10,0)),0)+IF(INDEX(Parsed!$K$2:$K$190,(MATCH(A27,Data!$B$2:$B$22,0)-1)*9+MATCH("Ethicity",Parsed!$C$2:$C$10,0))=INDEX(Parsed!$H$2:$H$190,(MATCH(B27,Data!$B$2:$B$22,0)-1)*9+MATCH("Ethicity",Parsed!$C$2:$C$10,0)),INDEX(Parsed!$M$2:$M$190,(MATCH(A27,Data!$B$2:$B$22,0)-1)*9+MATCH("Ethicity",Parsed!$C$2:$C$10,0))*INDEX(Parsed!$I$2:$I$190,(MATCH(B27,Data!$B$2:$B$22,0)-1)*9+MATCH("Ethicity",Parsed!$C$2:$C$10,0)),0)+IF(INDEX(Parsed!$K$2:$K$190,(MATCH(A27,Data!$B$2:$B$22,0)-1)*9+MATCH("Past",Parsed!$C$2:$C$10,0))=INDEX(Parsed!$H$2:$H$190,(MATCH(B27,Data!$B$2:$B$22,0)-1)*9+MATCH("Past",Parsed!$C$2:$C$10,0)),INDEX(Parsed!$M$2:$M$190,(MATCH(A27,Data!$B$2:$B$22,0)-1)*9+MATCH("Past",Parsed!$C$2:$C$10,0))*INDEX(Parsed!$I$2:$I$190,(MATCH(B27,Data!$B$2:$B$22,0)-1)*9+MATCH("Past",Parsed!$C$2:$C$10,0)),0)+IF(INDEX(Parsed!$K$2:$K$190,(MATCH(A27,Data!$B$2:$B$22,0)-1)*9+MATCH("D/S",Parsed!$C$2:$C$10,0))=INDEX(Parsed!$H$2:$H$190,(MATCH(B27,Data!$B$2:$B$22,0)-1)*9+MATCH("D/S",Parsed!$C$2:$C$10,0)),INDEX(Parsed!$M$2:$M$190,(MATCH(A27,Data!$B$2:$B$22,0)-1)*9+MATCH("D/S",Parsed!$C$2:$C$10,0))*INDEX(Parsed!$I$2:$I$190,(MATCH(B27,Data!$B$2:$B$22,0)-1)*9+MATCH("D/S",Parsed!$C$2:$C$10,0)),0)+IF(INDEX(Parsed!$K$2:$K$190,(MATCH(A27,Data!$B$2:$B$22,0)-1)*9+MATCH("True/kind",Parsed!$C$2:$C$10,0))=INDEX(Parsed!$H$2:$H$190,(MATCH(B27,Data!$B$2:$B$22,0)-1)*9+MATCH("True/kind",Parsed!$C$2:$C$10,0)),INDEX(Parsed!$M$2:$M$190,(MATCH(A27,Data!$B$2:$B$22,0)-1)*9+MATCH("True/kind",Parsed!$C$2:$C$10,0))*INDEX(Parsed!$I$2:$I$190,(MATCH(B27,Data!$B$2:$B$22,0)-1)*9+MATCH("True/kind",Parsed!$C$2:$C$10,0)),0)+IF(INDEX(Parsed!$K$2:$K$190,(MATCH(A27,Data!$B$2:$B$22,0)-1)*9+MATCH("Animal",Parsed!$C$2:$C$10,0))=INDEX(Parsed!$H$2:$H$190,(MATCH(B27,Data!$B$2:$B$22,0)-1)*9+MATCH("Animal",Parsed!$C$2:$C$10,0)),INDEX(Parsed!$M$2:$M$190,(MATCH(A27,Data!$B$2:$B$22,0)-1)*9+MATCH("Animal",Parsed!$C$2:$C$10,0))*INDEX(Parsed!$I$2:$I$190,(MATCH(B27,Data!$B$2:$B$22,0)-1)*9+MATCH("Animal",Parsed!$C$2:$C$10,0)),0),0)</x:f>
        <x:v>66.25</x:v>
      </x:c>
      <x:c r="E27" s="11" t="n">
        <x:f>SQRT(C27*D27)</x:f>
        <x:v>68.09919235938118</x:v>
      </x:c>
    </x:row>
    <x:row r="28">
      <x:c r="A28" t="str">
        <x:v>liam</x:v>
      </x:c>
      <x:c r="B28" t="str">
        <x:v>issabel</x:v>
      </x:c>
      <x:c r="C28" s="11" t="n">
        <x:f>IFERROR(IF(INDEX(Parsed!$K$2:$K$190,(MATCH(B28,Data!$B$2:$B$22,0)-1)*9+MATCH("God",Parsed!$C$2:$C$10,0))=INDEX(Parsed!$H$2:$H$190,(MATCH(A28,Data!$B$2:$B$22,0)-1)*9+MATCH("God",Parsed!$C$2:$C$10,0)),INDEX(Parsed!$M$2:$M$190,(MATCH(B28,Data!$B$2:$B$22,0)-1)*9+MATCH("God",Parsed!$C$2:$C$10,0))*INDEX(Parsed!$I$2:$I$190,(MATCH(A28,Data!$B$2:$B$22,0)-1)*9+MATCH("God",Parsed!$C$2:$C$10,0)),0)+IF(INDEX(Parsed!$K$2:$K$190,(MATCH(B28,Data!$B$2:$B$22,0)-1)*9+MATCH("Politics",Parsed!$C$2:$C$10,0))=INDEX(Parsed!$H$2:$H$190,(MATCH(A28,Data!$B$2:$B$22,0)-1)*9+MATCH("Politics",Parsed!$C$2:$C$10,0)),INDEX(Parsed!$M$2:$M$190,(MATCH(B28,Data!$B$2:$B$22,0)-1)*9+MATCH("Politics",Parsed!$C$2:$C$10,0))*INDEX(Parsed!$I$2:$I$190,(MATCH(A28,Data!$B$2:$B$22,0)-1)*9+MATCH("Politics",Parsed!$C$2:$C$10,0)),0)+IF(INDEX(Parsed!$K$2:$K$190,(MATCH(B28,Data!$B$2:$B$22,0)-1)*9+MATCH("Marriage",Parsed!$C$2:$C$10,0))=INDEX(Parsed!$H$2:$H$190,(MATCH(A28,Data!$B$2:$B$22,0)-1)*9+MATCH("Marriage",Parsed!$C$2:$C$10,0)),INDEX(Parsed!$M$2:$M$190,(MATCH(B28,Data!$B$2:$B$22,0)-1)*9+MATCH("Marriage",Parsed!$C$2:$C$10,0))*INDEX(Parsed!$I$2:$I$190,(MATCH(A28,Data!$B$2:$B$22,0)-1)*9+MATCH("Marriage",Parsed!$C$2:$C$10,0)),0)+IF(INDEX(Parsed!$K$2:$K$190,(MATCH(B28,Data!$B$2:$B$22,0)-1)*9+MATCH("Children",Parsed!$C$2:$C$10,0))=INDEX(Parsed!$H$2:$H$190,(MATCH(A28,Data!$B$2:$B$22,0)-1)*9+MATCH("Children",Parsed!$C$2:$C$10,0)),INDEX(Parsed!$M$2:$M$190,(MATCH(B28,Data!$B$2:$B$22,0)-1)*9+MATCH("Children",Parsed!$C$2:$C$10,0))*INDEX(Parsed!$I$2:$I$190,(MATCH(A28,Data!$B$2:$B$22,0)-1)*9+MATCH("Children",Parsed!$C$2:$C$10,0)),0)+IF(INDEX(Parsed!$K$2:$K$190,(MATCH(B28,Data!$B$2:$B$22,0)-1)*9+MATCH("Ethicity",Parsed!$C$2:$C$10,0))=INDEX(Parsed!$H$2:$H$190,(MATCH(A28,Data!$B$2:$B$22,0)-1)*9+MATCH("Ethicity",Parsed!$C$2:$C$10,0)),INDEX(Parsed!$M$2:$M$190,(MATCH(B28,Data!$B$2:$B$22,0)-1)*9+MATCH("Ethicity",Parsed!$C$2:$C$10,0))*INDEX(Parsed!$I$2:$I$190,(MATCH(A28,Data!$B$2:$B$22,0)-1)*9+MATCH("Ethicity",Parsed!$C$2:$C$10,0)),0)+IF(INDEX(Parsed!$K$2:$K$190,(MATCH(B28,Data!$B$2:$B$22,0)-1)*9+MATCH("Past",Parsed!$C$2:$C$10,0))=INDEX(Parsed!$H$2:$H$190,(MATCH(A28,Data!$B$2:$B$22,0)-1)*9+MATCH("Past",Parsed!$C$2:$C$10,0)),INDEX(Parsed!$M$2:$M$190,(MATCH(B28,Data!$B$2:$B$22,0)-1)*9+MATCH("Past",Parsed!$C$2:$C$10,0))*INDEX(Parsed!$I$2:$I$190,(MATCH(A28,Data!$B$2:$B$22,0)-1)*9+MATCH("Past",Parsed!$C$2:$C$10,0)),0)+IF(INDEX(Parsed!$K$2:$K$190,(MATCH(B28,Data!$B$2:$B$22,0)-1)*9+MATCH("D/S",Parsed!$C$2:$C$10,0))=INDEX(Parsed!$H$2:$H$190,(MATCH(A28,Data!$B$2:$B$22,0)-1)*9+MATCH("D/S",Parsed!$C$2:$C$10,0)),INDEX(Parsed!$M$2:$M$190,(MATCH(B28,Data!$B$2:$B$22,0)-1)*9+MATCH("D/S",Parsed!$C$2:$C$10,0))*INDEX(Parsed!$I$2:$I$190,(MATCH(A28,Data!$B$2:$B$22,0)-1)*9+MATCH("D/S",Parsed!$C$2:$C$10,0)),0)+IF(INDEX(Parsed!$K$2:$K$190,(MATCH(B28,Data!$B$2:$B$22,0)-1)*9+MATCH("True/kind",Parsed!$C$2:$C$10,0))=INDEX(Parsed!$H$2:$H$190,(MATCH(A28,Data!$B$2:$B$22,0)-1)*9+MATCH("True/kind",Parsed!$C$2:$C$10,0)),INDEX(Parsed!$M$2:$M$190,(MATCH(B28,Data!$B$2:$B$22,0)-1)*9+MATCH("True/kind",Parsed!$C$2:$C$10,0))*INDEX(Parsed!$I$2:$I$190,(MATCH(A28,Data!$B$2:$B$22,0)-1)*9+MATCH("True/kind",Parsed!$C$2:$C$10,0)),0)+IF(INDEX(Parsed!$K$2:$K$190,(MATCH(B28,Data!$B$2:$B$22,0)-1)*9+MATCH("Animal",Parsed!$C$2:$C$10,0))=INDEX(Parsed!$H$2:$H$190,(MATCH(A28,Data!$B$2:$B$22,0)-1)*9+MATCH("Animal",Parsed!$C$2:$C$10,0)),INDEX(Parsed!$M$2:$M$190,(MATCH(B28,Data!$B$2:$B$22,0)-1)*9+MATCH("Animal",Parsed!$C$2:$C$10,0))*INDEX(Parsed!$I$2:$I$190,(MATCH(A28,Data!$B$2:$B$22,0)-1)*9+MATCH("Animal",Parsed!$C$2:$C$10,0)),0),0)</x:f>
        <x:v>86.25</x:v>
      </x:c>
      <x:c r="D28" s="11" t="n">
        <x:f>IFERROR(IF(INDEX(Parsed!$K$2:$K$190,(MATCH(A28,Data!$B$2:$B$22,0)-1)*9+MATCH("God",Parsed!$C$2:$C$10,0))=INDEX(Parsed!$H$2:$H$190,(MATCH(B28,Data!$B$2:$B$22,0)-1)*9+MATCH("God",Parsed!$C$2:$C$10,0)),INDEX(Parsed!$M$2:$M$190,(MATCH(A28,Data!$B$2:$B$22,0)-1)*9+MATCH("God",Parsed!$C$2:$C$10,0))*INDEX(Parsed!$I$2:$I$190,(MATCH(B28,Data!$B$2:$B$22,0)-1)*9+MATCH("God",Parsed!$C$2:$C$10,0)),0)+IF(INDEX(Parsed!$K$2:$K$190,(MATCH(A28,Data!$B$2:$B$22,0)-1)*9+MATCH("Politics",Parsed!$C$2:$C$10,0))=INDEX(Parsed!$H$2:$H$190,(MATCH(B28,Data!$B$2:$B$22,0)-1)*9+MATCH("Politics",Parsed!$C$2:$C$10,0)),INDEX(Parsed!$M$2:$M$190,(MATCH(A28,Data!$B$2:$B$22,0)-1)*9+MATCH("Politics",Parsed!$C$2:$C$10,0))*INDEX(Parsed!$I$2:$I$190,(MATCH(B28,Data!$B$2:$B$22,0)-1)*9+MATCH("Politics",Parsed!$C$2:$C$10,0)),0)+IF(INDEX(Parsed!$K$2:$K$190,(MATCH(A28,Data!$B$2:$B$22,0)-1)*9+MATCH("Marriage",Parsed!$C$2:$C$10,0))=INDEX(Parsed!$H$2:$H$190,(MATCH(B28,Data!$B$2:$B$22,0)-1)*9+MATCH("Marriage",Parsed!$C$2:$C$10,0)),INDEX(Parsed!$M$2:$M$190,(MATCH(A28,Data!$B$2:$B$22,0)-1)*9+MATCH("Marriage",Parsed!$C$2:$C$10,0))*INDEX(Parsed!$I$2:$I$190,(MATCH(B28,Data!$B$2:$B$22,0)-1)*9+MATCH("Marriage",Parsed!$C$2:$C$10,0)),0)+IF(INDEX(Parsed!$K$2:$K$190,(MATCH(A28,Data!$B$2:$B$22,0)-1)*9+MATCH("Children",Parsed!$C$2:$C$10,0))=INDEX(Parsed!$H$2:$H$190,(MATCH(B28,Data!$B$2:$B$22,0)-1)*9+MATCH("Children",Parsed!$C$2:$C$10,0)),INDEX(Parsed!$M$2:$M$190,(MATCH(A28,Data!$B$2:$B$22,0)-1)*9+MATCH("Children",Parsed!$C$2:$C$10,0))*INDEX(Parsed!$I$2:$I$190,(MATCH(B28,Data!$B$2:$B$22,0)-1)*9+MATCH("Children",Parsed!$C$2:$C$10,0)),0)+IF(INDEX(Parsed!$K$2:$K$190,(MATCH(A28,Data!$B$2:$B$22,0)-1)*9+MATCH("Ethicity",Parsed!$C$2:$C$10,0))=INDEX(Parsed!$H$2:$H$190,(MATCH(B28,Data!$B$2:$B$22,0)-1)*9+MATCH("Ethicity",Parsed!$C$2:$C$10,0)),INDEX(Parsed!$M$2:$M$190,(MATCH(A28,Data!$B$2:$B$22,0)-1)*9+MATCH("Ethicity",Parsed!$C$2:$C$10,0))*INDEX(Parsed!$I$2:$I$190,(MATCH(B28,Data!$B$2:$B$22,0)-1)*9+MATCH("Ethicity",Parsed!$C$2:$C$10,0)),0)+IF(INDEX(Parsed!$K$2:$K$190,(MATCH(A28,Data!$B$2:$B$22,0)-1)*9+MATCH("Past",Parsed!$C$2:$C$10,0))=INDEX(Parsed!$H$2:$H$190,(MATCH(B28,Data!$B$2:$B$22,0)-1)*9+MATCH("Past",Parsed!$C$2:$C$10,0)),INDEX(Parsed!$M$2:$M$190,(MATCH(A28,Data!$B$2:$B$22,0)-1)*9+MATCH("Past",Parsed!$C$2:$C$10,0))*INDEX(Parsed!$I$2:$I$190,(MATCH(B28,Data!$B$2:$B$22,0)-1)*9+MATCH("Past",Parsed!$C$2:$C$10,0)),0)+IF(INDEX(Parsed!$K$2:$K$190,(MATCH(A28,Data!$B$2:$B$22,0)-1)*9+MATCH("D/S",Parsed!$C$2:$C$10,0))=INDEX(Parsed!$H$2:$H$190,(MATCH(B28,Data!$B$2:$B$22,0)-1)*9+MATCH("D/S",Parsed!$C$2:$C$10,0)),INDEX(Parsed!$M$2:$M$190,(MATCH(A28,Data!$B$2:$B$22,0)-1)*9+MATCH("D/S",Parsed!$C$2:$C$10,0))*INDEX(Parsed!$I$2:$I$190,(MATCH(B28,Data!$B$2:$B$22,0)-1)*9+MATCH("D/S",Parsed!$C$2:$C$10,0)),0)+IF(INDEX(Parsed!$K$2:$K$190,(MATCH(A28,Data!$B$2:$B$22,0)-1)*9+MATCH("True/kind",Parsed!$C$2:$C$10,0))=INDEX(Parsed!$H$2:$H$190,(MATCH(B28,Data!$B$2:$B$22,0)-1)*9+MATCH("True/kind",Parsed!$C$2:$C$10,0)),INDEX(Parsed!$M$2:$M$190,(MATCH(A28,Data!$B$2:$B$22,0)-1)*9+MATCH("True/kind",Parsed!$C$2:$C$10,0))*INDEX(Parsed!$I$2:$I$190,(MATCH(B28,Data!$B$2:$B$22,0)-1)*9+MATCH("True/kind",Parsed!$C$2:$C$10,0)),0)+IF(INDEX(Parsed!$K$2:$K$190,(MATCH(A28,Data!$B$2:$B$22,0)-1)*9+MATCH("Animal",Parsed!$C$2:$C$10,0))=INDEX(Parsed!$H$2:$H$190,(MATCH(B28,Data!$B$2:$B$22,0)-1)*9+MATCH("Animal",Parsed!$C$2:$C$10,0)),INDEX(Parsed!$M$2:$M$190,(MATCH(A28,Data!$B$2:$B$22,0)-1)*9+MATCH("Animal",Parsed!$C$2:$C$10,0))*INDEX(Parsed!$I$2:$I$190,(MATCH(B28,Data!$B$2:$B$22,0)-1)*9+MATCH("Animal",Parsed!$C$2:$C$10,0)),0),0)</x:f>
        <x:v>65</x:v>
      </x:c>
      <x:c r="E28" s="11" t="n">
        <x:f>SQRT(C28*D28)</x:f>
        <x:v>74.87489565935968</x:v>
      </x:c>
    </x:row>
    <x:row r="29">
      <x:c r="A29" t="str">
        <x:v>liam</x:v>
      </x:c>
      <x:c r="B29" t="str">
        <x:v>lydia</x:v>
      </x:c>
      <x:c r="C29" s="11" t="n">
        <x:f>IFERROR(IF(INDEX(Parsed!$K$2:$K$190,(MATCH(B29,Data!$B$2:$B$22,0)-1)*9+MATCH("God",Parsed!$C$2:$C$10,0))=INDEX(Parsed!$H$2:$H$190,(MATCH(A29,Data!$B$2:$B$22,0)-1)*9+MATCH("God",Parsed!$C$2:$C$10,0)),INDEX(Parsed!$M$2:$M$190,(MATCH(B29,Data!$B$2:$B$22,0)-1)*9+MATCH("God",Parsed!$C$2:$C$10,0))*INDEX(Parsed!$I$2:$I$190,(MATCH(A29,Data!$B$2:$B$22,0)-1)*9+MATCH("God",Parsed!$C$2:$C$10,0)),0)+IF(INDEX(Parsed!$K$2:$K$190,(MATCH(B29,Data!$B$2:$B$22,0)-1)*9+MATCH("Politics",Parsed!$C$2:$C$10,0))=INDEX(Parsed!$H$2:$H$190,(MATCH(A29,Data!$B$2:$B$22,0)-1)*9+MATCH("Politics",Parsed!$C$2:$C$10,0)),INDEX(Parsed!$M$2:$M$190,(MATCH(B29,Data!$B$2:$B$22,0)-1)*9+MATCH("Politics",Parsed!$C$2:$C$10,0))*INDEX(Parsed!$I$2:$I$190,(MATCH(A29,Data!$B$2:$B$22,0)-1)*9+MATCH("Politics",Parsed!$C$2:$C$10,0)),0)+IF(INDEX(Parsed!$K$2:$K$190,(MATCH(B29,Data!$B$2:$B$22,0)-1)*9+MATCH("Marriage",Parsed!$C$2:$C$10,0))=INDEX(Parsed!$H$2:$H$190,(MATCH(A29,Data!$B$2:$B$22,0)-1)*9+MATCH("Marriage",Parsed!$C$2:$C$10,0)),INDEX(Parsed!$M$2:$M$190,(MATCH(B29,Data!$B$2:$B$22,0)-1)*9+MATCH("Marriage",Parsed!$C$2:$C$10,0))*INDEX(Parsed!$I$2:$I$190,(MATCH(A29,Data!$B$2:$B$22,0)-1)*9+MATCH("Marriage",Parsed!$C$2:$C$10,0)),0)+IF(INDEX(Parsed!$K$2:$K$190,(MATCH(B29,Data!$B$2:$B$22,0)-1)*9+MATCH("Children",Parsed!$C$2:$C$10,0))=INDEX(Parsed!$H$2:$H$190,(MATCH(A29,Data!$B$2:$B$22,0)-1)*9+MATCH("Children",Parsed!$C$2:$C$10,0)),INDEX(Parsed!$M$2:$M$190,(MATCH(B29,Data!$B$2:$B$22,0)-1)*9+MATCH("Children",Parsed!$C$2:$C$10,0))*INDEX(Parsed!$I$2:$I$190,(MATCH(A29,Data!$B$2:$B$22,0)-1)*9+MATCH("Children",Parsed!$C$2:$C$10,0)),0)+IF(INDEX(Parsed!$K$2:$K$190,(MATCH(B29,Data!$B$2:$B$22,0)-1)*9+MATCH("Ethicity",Parsed!$C$2:$C$10,0))=INDEX(Parsed!$H$2:$H$190,(MATCH(A29,Data!$B$2:$B$22,0)-1)*9+MATCH("Ethicity",Parsed!$C$2:$C$10,0)),INDEX(Parsed!$M$2:$M$190,(MATCH(B29,Data!$B$2:$B$22,0)-1)*9+MATCH("Ethicity",Parsed!$C$2:$C$10,0))*INDEX(Parsed!$I$2:$I$190,(MATCH(A29,Data!$B$2:$B$22,0)-1)*9+MATCH("Ethicity",Parsed!$C$2:$C$10,0)),0)+IF(INDEX(Parsed!$K$2:$K$190,(MATCH(B29,Data!$B$2:$B$22,0)-1)*9+MATCH("Past",Parsed!$C$2:$C$10,0))=INDEX(Parsed!$H$2:$H$190,(MATCH(A29,Data!$B$2:$B$22,0)-1)*9+MATCH("Past",Parsed!$C$2:$C$10,0)),INDEX(Parsed!$M$2:$M$190,(MATCH(B29,Data!$B$2:$B$22,0)-1)*9+MATCH("Past",Parsed!$C$2:$C$10,0))*INDEX(Parsed!$I$2:$I$190,(MATCH(A29,Data!$B$2:$B$22,0)-1)*9+MATCH("Past",Parsed!$C$2:$C$10,0)),0)+IF(INDEX(Parsed!$K$2:$K$190,(MATCH(B29,Data!$B$2:$B$22,0)-1)*9+MATCH("D/S",Parsed!$C$2:$C$10,0))=INDEX(Parsed!$H$2:$H$190,(MATCH(A29,Data!$B$2:$B$22,0)-1)*9+MATCH("D/S",Parsed!$C$2:$C$10,0)),INDEX(Parsed!$M$2:$M$190,(MATCH(B29,Data!$B$2:$B$22,0)-1)*9+MATCH("D/S",Parsed!$C$2:$C$10,0))*INDEX(Parsed!$I$2:$I$190,(MATCH(A29,Data!$B$2:$B$22,0)-1)*9+MATCH("D/S",Parsed!$C$2:$C$10,0)),0)+IF(INDEX(Parsed!$K$2:$K$190,(MATCH(B29,Data!$B$2:$B$22,0)-1)*9+MATCH("True/kind",Parsed!$C$2:$C$10,0))=INDEX(Parsed!$H$2:$H$190,(MATCH(A29,Data!$B$2:$B$22,0)-1)*9+MATCH("True/kind",Parsed!$C$2:$C$10,0)),INDEX(Parsed!$M$2:$M$190,(MATCH(B29,Data!$B$2:$B$22,0)-1)*9+MATCH("True/kind",Parsed!$C$2:$C$10,0))*INDEX(Parsed!$I$2:$I$190,(MATCH(A29,Data!$B$2:$B$22,0)-1)*9+MATCH("True/kind",Parsed!$C$2:$C$10,0)),0)+IF(INDEX(Parsed!$K$2:$K$190,(MATCH(B29,Data!$B$2:$B$22,0)-1)*9+MATCH("Animal",Parsed!$C$2:$C$10,0))=INDEX(Parsed!$H$2:$H$190,(MATCH(A29,Data!$B$2:$B$22,0)-1)*9+MATCH("Animal",Parsed!$C$2:$C$10,0)),INDEX(Parsed!$M$2:$M$190,(MATCH(B29,Data!$B$2:$B$22,0)-1)*9+MATCH("Animal",Parsed!$C$2:$C$10,0))*INDEX(Parsed!$I$2:$I$190,(MATCH(A29,Data!$B$2:$B$22,0)-1)*9+MATCH("Animal",Parsed!$C$2:$C$10,0)),0),0)</x:f>
        <x:v>47.5</x:v>
      </x:c>
      <x:c r="D29" s="11" t="n">
        <x:f>IFERROR(IF(INDEX(Parsed!$K$2:$K$190,(MATCH(A29,Data!$B$2:$B$22,0)-1)*9+MATCH("God",Parsed!$C$2:$C$10,0))=INDEX(Parsed!$H$2:$H$190,(MATCH(B29,Data!$B$2:$B$22,0)-1)*9+MATCH("God",Parsed!$C$2:$C$10,0)),INDEX(Parsed!$M$2:$M$190,(MATCH(A29,Data!$B$2:$B$22,0)-1)*9+MATCH("God",Parsed!$C$2:$C$10,0))*INDEX(Parsed!$I$2:$I$190,(MATCH(B29,Data!$B$2:$B$22,0)-1)*9+MATCH("God",Parsed!$C$2:$C$10,0)),0)+IF(INDEX(Parsed!$K$2:$K$190,(MATCH(A29,Data!$B$2:$B$22,0)-1)*9+MATCH("Politics",Parsed!$C$2:$C$10,0))=INDEX(Parsed!$H$2:$H$190,(MATCH(B29,Data!$B$2:$B$22,0)-1)*9+MATCH("Politics",Parsed!$C$2:$C$10,0)),INDEX(Parsed!$M$2:$M$190,(MATCH(A29,Data!$B$2:$B$22,0)-1)*9+MATCH("Politics",Parsed!$C$2:$C$10,0))*INDEX(Parsed!$I$2:$I$190,(MATCH(B29,Data!$B$2:$B$22,0)-1)*9+MATCH("Politics",Parsed!$C$2:$C$10,0)),0)+IF(INDEX(Parsed!$K$2:$K$190,(MATCH(A29,Data!$B$2:$B$22,0)-1)*9+MATCH("Marriage",Parsed!$C$2:$C$10,0))=INDEX(Parsed!$H$2:$H$190,(MATCH(B29,Data!$B$2:$B$22,0)-1)*9+MATCH("Marriage",Parsed!$C$2:$C$10,0)),INDEX(Parsed!$M$2:$M$190,(MATCH(A29,Data!$B$2:$B$22,0)-1)*9+MATCH("Marriage",Parsed!$C$2:$C$10,0))*INDEX(Parsed!$I$2:$I$190,(MATCH(B29,Data!$B$2:$B$22,0)-1)*9+MATCH("Marriage",Parsed!$C$2:$C$10,0)),0)+IF(INDEX(Parsed!$K$2:$K$190,(MATCH(A29,Data!$B$2:$B$22,0)-1)*9+MATCH("Children",Parsed!$C$2:$C$10,0))=INDEX(Parsed!$H$2:$H$190,(MATCH(B29,Data!$B$2:$B$22,0)-1)*9+MATCH("Children",Parsed!$C$2:$C$10,0)),INDEX(Parsed!$M$2:$M$190,(MATCH(A29,Data!$B$2:$B$22,0)-1)*9+MATCH("Children",Parsed!$C$2:$C$10,0))*INDEX(Parsed!$I$2:$I$190,(MATCH(B29,Data!$B$2:$B$22,0)-1)*9+MATCH("Children",Parsed!$C$2:$C$10,0)),0)+IF(INDEX(Parsed!$K$2:$K$190,(MATCH(A29,Data!$B$2:$B$22,0)-1)*9+MATCH("Ethicity",Parsed!$C$2:$C$10,0))=INDEX(Parsed!$H$2:$H$190,(MATCH(B29,Data!$B$2:$B$22,0)-1)*9+MATCH("Ethicity",Parsed!$C$2:$C$10,0)),INDEX(Parsed!$M$2:$M$190,(MATCH(A29,Data!$B$2:$B$22,0)-1)*9+MATCH("Ethicity",Parsed!$C$2:$C$10,0))*INDEX(Parsed!$I$2:$I$190,(MATCH(B29,Data!$B$2:$B$22,0)-1)*9+MATCH("Ethicity",Parsed!$C$2:$C$10,0)),0)+IF(INDEX(Parsed!$K$2:$K$190,(MATCH(A29,Data!$B$2:$B$22,0)-1)*9+MATCH("Past",Parsed!$C$2:$C$10,0))=INDEX(Parsed!$H$2:$H$190,(MATCH(B29,Data!$B$2:$B$22,0)-1)*9+MATCH("Past",Parsed!$C$2:$C$10,0)),INDEX(Parsed!$M$2:$M$190,(MATCH(A29,Data!$B$2:$B$22,0)-1)*9+MATCH("Past",Parsed!$C$2:$C$10,0))*INDEX(Parsed!$I$2:$I$190,(MATCH(B29,Data!$B$2:$B$22,0)-1)*9+MATCH("Past",Parsed!$C$2:$C$10,0)),0)+IF(INDEX(Parsed!$K$2:$K$190,(MATCH(A29,Data!$B$2:$B$22,0)-1)*9+MATCH("D/S",Parsed!$C$2:$C$10,0))=INDEX(Parsed!$H$2:$H$190,(MATCH(B29,Data!$B$2:$B$22,0)-1)*9+MATCH("D/S",Parsed!$C$2:$C$10,0)),INDEX(Parsed!$M$2:$M$190,(MATCH(A29,Data!$B$2:$B$22,0)-1)*9+MATCH("D/S",Parsed!$C$2:$C$10,0))*INDEX(Parsed!$I$2:$I$190,(MATCH(B29,Data!$B$2:$B$22,0)-1)*9+MATCH("D/S",Parsed!$C$2:$C$10,0)),0)+IF(INDEX(Parsed!$K$2:$K$190,(MATCH(A29,Data!$B$2:$B$22,0)-1)*9+MATCH("True/kind",Parsed!$C$2:$C$10,0))=INDEX(Parsed!$H$2:$H$190,(MATCH(B29,Data!$B$2:$B$22,0)-1)*9+MATCH("True/kind",Parsed!$C$2:$C$10,0)),INDEX(Parsed!$M$2:$M$190,(MATCH(A29,Data!$B$2:$B$22,0)-1)*9+MATCH("True/kind",Parsed!$C$2:$C$10,0))*INDEX(Parsed!$I$2:$I$190,(MATCH(B29,Data!$B$2:$B$22,0)-1)*9+MATCH("True/kind",Parsed!$C$2:$C$10,0)),0)+IF(INDEX(Parsed!$K$2:$K$190,(MATCH(A29,Data!$B$2:$B$22,0)-1)*9+MATCH("Animal",Parsed!$C$2:$C$10,0))=INDEX(Parsed!$H$2:$H$190,(MATCH(B29,Data!$B$2:$B$22,0)-1)*9+MATCH("Animal",Parsed!$C$2:$C$10,0)),INDEX(Parsed!$M$2:$M$190,(MATCH(A29,Data!$B$2:$B$22,0)-1)*9+MATCH("Animal",Parsed!$C$2:$C$10,0))*INDEX(Parsed!$I$2:$I$190,(MATCH(B29,Data!$B$2:$B$22,0)-1)*9+MATCH("Animal",Parsed!$C$2:$C$10,0)),0),0)</x:f>
        <x:v>62.5</x:v>
      </x:c>
      <x:c r="E29" s="11" t="n">
        <x:f>SQRT(C29*D29)</x:f>
        <x:v>54.48623679425842</x:v>
      </x:c>
    </x:row>
    <x:row r="30">
      <x:c r="A30" t="str">
        <x:v>arthur</x:v>
      </x:c>
      <x:c r="B30" t="str">
        <x:v>jasmine</x:v>
      </x:c>
      <x:c r="C30" s="11" t="n">
        <x:f>IFERROR(IF(INDEX(Parsed!$K$2:$K$190,(MATCH(B30,Data!$B$2:$B$22,0)-1)*9+MATCH("God",Parsed!$C$2:$C$10,0))=INDEX(Parsed!$H$2:$H$190,(MATCH(A30,Data!$B$2:$B$22,0)-1)*9+MATCH("God",Parsed!$C$2:$C$10,0)),INDEX(Parsed!$M$2:$M$190,(MATCH(B30,Data!$B$2:$B$22,0)-1)*9+MATCH("God",Parsed!$C$2:$C$10,0))*INDEX(Parsed!$I$2:$I$190,(MATCH(A30,Data!$B$2:$B$22,0)-1)*9+MATCH("God",Parsed!$C$2:$C$10,0)),0)+IF(INDEX(Parsed!$K$2:$K$190,(MATCH(B30,Data!$B$2:$B$22,0)-1)*9+MATCH("Politics",Parsed!$C$2:$C$10,0))=INDEX(Parsed!$H$2:$H$190,(MATCH(A30,Data!$B$2:$B$22,0)-1)*9+MATCH("Politics",Parsed!$C$2:$C$10,0)),INDEX(Parsed!$M$2:$M$190,(MATCH(B30,Data!$B$2:$B$22,0)-1)*9+MATCH("Politics",Parsed!$C$2:$C$10,0))*INDEX(Parsed!$I$2:$I$190,(MATCH(A30,Data!$B$2:$B$22,0)-1)*9+MATCH("Politics",Parsed!$C$2:$C$10,0)),0)+IF(INDEX(Parsed!$K$2:$K$190,(MATCH(B30,Data!$B$2:$B$22,0)-1)*9+MATCH("Marriage",Parsed!$C$2:$C$10,0))=INDEX(Parsed!$H$2:$H$190,(MATCH(A30,Data!$B$2:$B$22,0)-1)*9+MATCH("Marriage",Parsed!$C$2:$C$10,0)),INDEX(Parsed!$M$2:$M$190,(MATCH(B30,Data!$B$2:$B$22,0)-1)*9+MATCH("Marriage",Parsed!$C$2:$C$10,0))*INDEX(Parsed!$I$2:$I$190,(MATCH(A30,Data!$B$2:$B$22,0)-1)*9+MATCH("Marriage",Parsed!$C$2:$C$10,0)),0)+IF(INDEX(Parsed!$K$2:$K$190,(MATCH(B30,Data!$B$2:$B$22,0)-1)*9+MATCH("Children",Parsed!$C$2:$C$10,0))=INDEX(Parsed!$H$2:$H$190,(MATCH(A30,Data!$B$2:$B$22,0)-1)*9+MATCH("Children",Parsed!$C$2:$C$10,0)),INDEX(Parsed!$M$2:$M$190,(MATCH(B30,Data!$B$2:$B$22,0)-1)*9+MATCH("Children",Parsed!$C$2:$C$10,0))*INDEX(Parsed!$I$2:$I$190,(MATCH(A30,Data!$B$2:$B$22,0)-1)*9+MATCH("Children",Parsed!$C$2:$C$10,0)),0)+IF(INDEX(Parsed!$K$2:$K$190,(MATCH(B30,Data!$B$2:$B$22,0)-1)*9+MATCH("Ethicity",Parsed!$C$2:$C$10,0))=INDEX(Parsed!$H$2:$H$190,(MATCH(A30,Data!$B$2:$B$22,0)-1)*9+MATCH("Ethicity",Parsed!$C$2:$C$10,0)),INDEX(Parsed!$M$2:$M$190,(MATCH(B30,Data!$B$2:$B$22,0)-1)*9+MATCH("Ethicity",Parsed!$C$2:$C$10,0))*INDEX(Parsed!$I$2:$I$190,(MATCH(A30,Data!$B$2:$B$22,0)-1)*9+MATCH("Ethicity",Parsed!$C$2:$C$10,0)),0)+IF(INDEX(Parsed!$K$2:$K$190,(MATCH(B30,Data!$B$2:$B$22,0)-1)*9+MATCH("Past",Parsed!$C$2:$C$10,0))=INDEX(Parsed!$H$2:$H$190,(MATCH(A30,Data!$B$2:$B$22,0)-1)*9+MATCH("Past",Parsed!$C$2:$C$10,0)),INDEX(Parsed!$M$2:$M$190,(MATCH(B30,Data!$B$2:$B$22,0)-1)*9+MATCH("Past",Parsed!$C$2:$C$10,0))*INDEX(Parsed!$I$2:$I$190,(MATCH(A30,Data!$B$2:$B$22,0)-1)*9+MATCH("Past",Parsed!$C$2:$C$10,0)),0)+IF(INDEX(Parsed!$K$2:$K$190,(MATCH(B30,Data!$B$2:$B$22,0)-1)*9+MATCH("D/S",Parsed!$C$2:$C$10,0))=INDEX(Parsed!$H$2:$H$190,(MATCH(A30,Data!$B$2:$B$22,0)-1)*9+MATCH("D/S",Parsed!$C$2:$C$10,0)),INDEX(Parsed!$M$2:$M$190,(MATCH(B30,Data!$B$2:$B$22,0)-1)*9+MATCH("D/S",Parsed!$C$2:$C$10,0))*INDEX(Parsed!$I$2:$I$190,(MATCH(A30,Data!$B$2:$B$22,0)-1)*9+MATCH("D/S",Parsed!$C$2:$C$10,0)),0)+IF(INDEX(Parsed!$K$2:$K$190,(MATCH(B30,Data!$B$2:$B$22,0)-1)*9+MATCH("True/kind",Parsed!$C$2:$C$10,0))=INDEX(Parsed!$H$2:$H$190,(MATCH(A30,Data!$B$2:$B$22,0)-1)*9+MATCH("True/kind",Parsed!$C$2:$C$10,0)),INDEX(Parsed!$M$2:$M$190,(MATCH(B30,Data!$B$2:$B$22,0)-1)*9+MATCH("True/kind",Parsed!$C$2:$C$10,0))*INDEX(Parsed!$I$2:$I$190,(MATCH(A30,Data!$B$2:$B$22,0)-1)*9+MATCH("True/kind",Parsed!$C$2:$C$10,0)),0)+IF(INDEX(Parsed!$K$2:$K$190,(MATCH(B30,Data!$B$2:$B$22,0)-1)*9+MATCH("Animal",Parsed!$C$2:$C$10,0))=INDEX(Parsed!$H$2:$H$190,(MATCH(A30,Data!$B$2:$B$22,0)-1)*9+MATCH("Animal",Parsed!$C$2:$C$10,0)),INDEX(Parsed!$M$2:$M$190,(MATCH(B30,Data!$B$2:$B$22,0)-1)*9+MATCH("Animal",Parsed!$C$2:$C$10,0))*INDEX(Parsed!$I$2:$I$190,(MATCH(A30,Data!$B$2:$B$22,0)-1)*9+MATCH("Animal",Parsed!$C$2:$C$10,0)),0),0)</x:f>
        <x:v>43.75</x:v>
      </x:c>
      <x:c r="D30" s="11" t="n">
        <x:f>IFERROR(IF(INDEX(Parsed!$K$2:$K$190,(MATCH(A30,Data!$B$2:$B$22,0)-1)*9+MATCH("God",Parsed!$C$2:$C$10,0))=INDEX(Parsed!$H$2:$H$190,(MATCH(B30,Data!$B$2:$B$22,0)-1)*9+MATCH("God",Parsed!$C$2:$C$10,0)),INDEX(Parsed!$M$2:$M$190,(MATCH(A30,Data!$B$2:$B$22,0)-1)*9+MATCH("God",Parsed!$C$2:$C$10,0))*INDEX(Parsed!$I$2:$I$190,(MATCH(B30,Data!$B$2:$B$22,0)-1)*9+MATCH("God",Parsed!$C$2:$C$10,0)),0)+IF(INDEX(Parsed!$K$2:$K$190,(MATCH(A30,Data!$B$2:$B$22,0)-1)*9+MATCH("Politics",Parsed!$C$2:$C$10,0))=INDEX(Parsed!$H$2:$H$190,(MATCH(B30,Data!$B$2:$B$22,0)-1)*9+MATCH("Politics",Parsed!$C$2:$C$10,0)),INDEX(Parsed!$M$2:$M$190,(MATCH(A30,Data!$B$2:$B$22,0)-1)*9+MATCH("Politics",Parsed!$C$2:$C$10,0))*INDEX(Parsed!$I$2:$I$190,(MATCH(B30,Data!$B$2:$B$22,0)-1)*9+MATCH("Politics",Parsed!$C$2:$C$10,0)),0)+IF(INDEX(Parsed!$K$2:$K$190,(MATCH(A30,Data!$B$2:$B$22,0)-1)*9+MATCH("Marriage",Parsed!$C$2:$C$10,0))=INDEX(Parsed!$H$2:$H$190,(MATCH(B30,Data!$B$2:$B$22,0)-1)*9+MATCH("Marriage",Parsed!$C$2:$C$10,0)),INDEX(Parsed!$M$2:$M$190,(MATCH(A30,Data!$B$2:$B$22,0)-1)*9+MATCH("Marriage",Parsed!$C$2:$C$10,0))*INDEX(Parsed!$I$2:$I$190,(MATCH(B30,Data!$B$2:$B$22,0)-1)*9+MATCH("Marriage",Parsed!$C$2:$C$10,0)),0)+IF(INDEX(Parsed!$K$2:$K$190,(MATCH(A30,Data!$B$2:$B$22,0)-1)*9+MATCH("Children",Parsed!$C$2:$C$10,0))=INDEX(Parsed!$H$2:$H$190,(MATCH(B30,Data!$B$2:$B$22,0)-1)*9+MATCH("Children",Parsed!$C$2:$C$10,0)),INDEX(Parsed!$M$2:$M$190,(MATCH(A30,Data!$B$2:$B$22,0)-1)*9+MATCH("Children",Parsed!$C$2:$C$10,0))*INDEX(Parsed!$I$2:$I$190,(MATCH(B30,Data!$B$2:$B$22,0)-1)*9+MATCH("Children",Parsed!$C$2:$C$10,0)),0)+IF(INDEX(Parsed!$K$2:$K$190,(MATCH(A30,Data!$B$2:$B$22,0)-1)*9+MATCH("Ethicity",Parsed!$C$2:$C$10,0))=INDEX(Parsed!$H$2:$H$190,(MATCH(B30,Data!$B$2:$B$22,0)-1)*9+MATCH("Ethicity",Parsed!$C$2:$C$10,0)),INDEX(Parsed!$M$2:$M$190,(MATCH(A30,Data!$B$2:$B$22,0)-1)*9+MATCH("Ethicity",Parsed!$C$2:$C$10,0))*INDEX(Parsed!$I$2:$I$190,(MATCH(B30,Data!$B$2:$B$22,0)-1)*9+MATCH("Ethicity",Parsed!$C$2:$C$10,0)),0)+IF(INDEX(Parsed!$K$2:$K$190,(MATCH(A30,Data!$B$2:$B$22,0)-1)*9+MATCH("Past",Parsed!$C$2:$C$10,0))=INDEX(Parsed!$H$2:$H$190,(MATCH(B30,Data!$B$2:$B$22,0)-1)*9+MATCH("Past",Parsed!$C$2:$C$10,0)),INDEX(Parsed!$M$2:$M$190,(MATCH(A30,Data!$B$2:$B$22,0)-1)*9+MATCH("Past",Parsed!$C$2:$C$10,0))*INDEX(Parsed!$I$2:$I$190,(MATCH(B30,Data!$B$2:$B$22,0)-1)*9+MATCH("Past",Parsed!$C$2:$C$10,0)),0)+IF(INDEX(Parsed!$K$2:$K$190,(MATCH(A30,Data!$B$2:$B$22,0)-1)*9+MATCH("D/S",Parsed!$C$2:$C$10,0))=INDEX(Parsed!$H$2:$H$190,(MATCH(B30,Data!$B$2:$B$22,0)-1)*9+MATCH("D/S",Parsed!$C$2:$C$10,0)),INDEX(Parsed!$M$2:$M$190,(MATCH(A30,Data!$B$2:$B$22,0)-1)*9+MATCH("D/S",Parsed!$C$2:$C$10,0))*INDEX(Parsed!$I$2:$I$190,(MATCH(B30,Data!$B$2:$B$22,0)-1)*9+MATCH("D/S",Parsed!$C$2:$C$10,0)),0)+IF(INDEX(Parsed!$K$2:$K$190,(MATCH(A30,Data!$B$2:$B$22,0)-1)*9+MATCH("True/kind",Parsed!$C$2:$C$10,0))=INDEX(Parsed!$H$2:$H$190,(MATCH(B30,Data!$B$2:$B$22,0)-1)*9+MATCH("True/kind",Parsed!$C$2:$C$10,0)),INDEX(Parsed!$M$2:$M$190,(MATCH(A30,Data!$B$2:$B$22,0)-1)*9+MATCH("True/kind",Parsed!$C$2:$C$10,0))*INDEX(Parsed!$I$2:$I$190,(MATCH(B30,Data!$B$2:$B$22,0)-1)*9+MATCH("True/kind",Parsed!$C$2:$C$10,0)),0)+IF(INDEX(Parsed!$K$2:$K$190,(MATCH(A30,Data!$B$2:$B$22,0)-1)*9+MATCH("Animal",Parsed!$C$2:$C$10,0))=INDEX(Parsed!$H$2:$H$190,(MATCH(B30,Data!$B$2:$B$22,0)-1)*9+MATCH("Animal",Parsed!$C$2:$C$10,0)),INDEX(Parsed!$M$2:$M$190,(MATCH(A30,Data!$B$2:$B$22,0)-1)*9+MATCH("Animal",Parsed!$C$2:$C$10,0))*INDEX(Parsed!$I$2:$I$190,(MATCH(B30,Data!$B$2:$B$22,0)-1)*9+MATCH("Animal",Parsed!$C$2:$C$10,0)),0),0)</x:f>
        <x:v>60</x:v>
      </x:c>
      <x:c r="E30" s="11" t="n">
        <x:f>SQRT(C30*D30)</x:f>
        <x:v>51.234753829797995</x:v>
      </x:c>
    </x:row>
    <x:row r="31">
      <x:c r="A31" t="str">
        <x:v>arthur</x:v>
      </x:c>
      <x:c r="B31" t="str">
        <x:v>cathleen</x:v>
      </x:c>
      <x:c r="C31" s="11" t="n">
        <x:f>IFERROR(IF(INDEX(Parsed!$K$2:$K$190,(MATCH(B31,Data!$B$2:$B$22,0)-1)*9+MATCH("God",Parsed!$C$2:$C$10,0))=INDEX(Parsed!$H$2:$H$190,(MATCH(A31,Data!$B$2:$B$22,0)-1)*9+MATCH("God",Parsed!$C$2:$C$10,0)),INDEX(Parsed!$M$2:$M$190,(MATCH(B31,Data!$B$2:$B$22,0)-1)*9+MATCH("God",Parsed!$C$2:$C$10,0))*INDEX(Parsed!$I$2:$I$190,(MATCH(A31,Data!$B$2:$B$22,0)-1)*9+MATCH("God",Parsed!$C$2:$C$10,0)),0)+IF(INDEX(Parsed!$K$2:$K$190,(MATCH(B31,Data!$B$2:$B$22,0)-1)*9+MATCH("Politics",Parsed!$C$2:$C$10,0))=INDEX(Parsed!$H$2:$H$190,(MATCH(A31,Data!$B$2:$B$22,0)-1)*9+MATCH("Politics",Parsed!$C$2:$C$10,0)),INDEX(Parsed!$M$2:$M$190,(MATCH(B31,Data!$B$2:$B$22,0)-1)*9+MATCH("Politics",Parsed!$C$2:$C$10,0))*INDEX(Parsed!$I$2:$I$190,(MATCH(A31,Data!$B$2:$B$22,0)-1)*9+MATCH("Politics",Parsed!$C$2:$C$10,0)),0)+IF(INDEX(Parsed!$K$2:$K$190,(MATCH(B31,Data!$B$2:$B$22,0)-1)*9+MATCH("Marriage",Parsed!$C$2:$C$10,0))=INDEX(Parsed!$H$2:$H$190,(MATCH(A31,Data!$B$2:$B$22,0)-1)*9+MATCH("Marriage",Parsed!$C$2:$C$10,0)),INDEX(Parsed!$M$2:$M$190,(MATCH(B31,Data!$B$2:$B$22,0)-1)*9+MATCH("Marriage",Parsed!$C$2:$C$10,0))*INDEX(Parsed!$I$2:$I$190,(MATCH(A31,Data!$B$2:$B$22,0)-1)*9+MATCH("Marriage",Parsed!$C$2:$C$10,0)),0)+IF(INDEX(Parsed!$K$2:$K$190,(MATCH(B31,Data!$B$2:$B$22,0)-1)*9+MATCH("Children",Parsed!$C$2:$C$10,0))=INDEX(Parsed!$H$2:$H$190,(MATCH(A31,Data!$B$2:$B$22,0)-1)*9+MATCH("Children",Parsed!$C$2:$C$10,0)),INDEX(Parsed!$M$2:$M$190,(MATCH(B31,Data!$B$2:$B$22,0)-1)*9+MATCH("Children",Parsed!$C$2:$C$10,0))*INDEX(Parsed!$I$2:$I$190,(MATCH(A31,Data!$B$2:$B$22,0)-1)*9+MATCH("Children",Parsed!$C$2:$C$10,0)),0)+IF(INDEX(Parsed!$K$2:$K$190,(MATCH(B31,Data!$B$2:$B$22,0)-1)*9+MATCH("Ethicity",Parsed!$C$2:$C$10,0))=INDEX(Parsed!$H$2:$H$190,(MATCH(A31,Data!$B$2:$B$22,0)-1)*9+MATCH("Ethicity",Parsed!$C$2:$C$10,0)),INDEX(Parsed!$M$2:$M$190,(MATCH(B31,Data!$B$2:$B$22,0)-1)*9+MATCH("Ethicity",Parsed!$C$2:$C$10,0))*INDEX(Parsed!$I$2:$I$190,(MATCH(A31,Data!$B$2:$B$22,0)-1)*9+MATCH("Ethicity",Parsed!$C$2:$C$10,0)),0)+IF(INDEX(Parsed!$K$2:$K$190,(MATCH(B31,Data!$B$2:$B$22,0)-1)*9+MATCH("Past",Parsed!$C$2:$C$10,0))=INDEX(Parsed!$H$2:$H$190,(MATCH(A31,Data!$B$2:$B$22,0)-1)*9+MATCH("Past",Parsed!$C$2:$C$10,0)),INDEX(Parsed!$M$2:$M$190,(MATCH(B31,Data!$B$2:$B$22,0)-1)*9+MATCH("Past",Parsed!$C$2:$C$10,0))*INDEX(Parsed!$I$2:$I$190,(MATCH(A31,Data!$B$2:$B$22,0)-1)*9+MATCH("Past",Parsed!$C$2:$C$10,0)),0)+IF(INDEX(Parsed!$K$2:$K$190,(MATCH(B31,Data!$B$2:$B$22,0)-1)*9+MATCH("D/S",Parsed!$C$2:$C$10,0))=INDEX(Parsed!$H$2:$H$190,(MATCH(A31,Data!$B$2:$B$22,0)-1)*9+MATCH("D/S",Parsed!$C$2:$C$10,0)),INDEX(Parsed!$M$2:$M$190,(MATCH(B31,Data!$B$2:$B$22,0)-1)*9+MATCH("D/S",Parsed!$C$2:$C$10,0))*INDEX(Parsed!$I$2:$I$190,(MATCH(A31,Data!$B$2:$B$22,0)-1)*9+MATCH("D/S",Parsed!$C$2:$C$10,0)),0)+IF(INDEX(Parsed!$K$2:$K$190,(MATCH(B31,Data!$B$2:$B$22,0)-1)*9+MATCH("True/kind",Parsed!$C$2:$C$10,0))=INDEX(Parsed!$H$2:$H$190,(MATCH(A31,Data!$B$2:$B$22,0)-1)*9+MATCH("True/kind",Parsed!$C$2:$C$10,0)),INDEX(Parsed!$M$2:$M$190,(MATCH(B31,Data!$B$2:$B$22,0)-1)*9+MATCH("True/kind",Parsed!$C$2:$C$10,0))*INDEX(Parsed!$I$2:$I$190,(MATCH(A31,Data!$B$2:$B$22,0)-1)*9+MATCH("True/kind",Parsed!$C$2:$C$10,0)),0)+IF(INDEX(Parsed!$K$2:$K$190,(MATCH(B31,Data!$B$2:$B$22,0)-1)*9+MATCH("Animal",Parsed!$C$2:$C$10,0))=INDEX(Parsed!$H$2:$H$190,(MATCH(A31,Data!$B$2:$B$22,0)-1)*9+MATCH("Animal",Parsed!$C$2:$C$10,0)),INDEX(Parsed!$M$2:$M$190,(MATCH(B31,Data!$B$2:$B$22,0)-1)*9+MATCH("Animal",Parsed!$C$2:$C$10,0))*INDEX(Parsed!$I$2:$I$190,(MATCH(A31,Data!$B$2:$B$22,0)-1)*9+MATCH("Animal",Parsed!$C$2:$C$10,0)),0),0)</x:f>
        <x:v>40</x:v>
      </x:c>
      <x:c r="D31" s="11" t="n">
        <x:f>IFERROR(IF(INDEX(Parsed!$K$2:$K$190,(MATCH(A31,Data!$B$2:$B$22,0)-1)*9+MATCH("God",Parsed!$C$2:$C$10,0))=INDEX(Parsed!$H$2:$H$190,(MATCH(B31,Data!$B$2:$B$22,0)-1)*9+MATCH("God",Parsed!$C$2:$C$10,0)),INDEX(Parsed!$M$2:$M$190,(MATCH(A31,Data!$B$2:$B$22,0)-1)*9+MATCH("God",Parsed!$C$2:$C$10,0))*INDEX(Parsed!$I$2:$I$190,(MATCH(B31,Data!$B$2:$B$22,0)-1)*9+MATCH("God",Parsed!$C$2:$C$10,0)),0)+IF(INDEX(Parsed!$K$2:$K$190,(MATCH(A31,Data!$B$2:$B$22,0)-1)*9+MATCH("Politics",Parsed!$C$2:$C$10,0))=INDEX(Parsed!$H$2:$H$190,(MATCH(B31,Data!$B$2:$B$22,0)-1)*9+MATCH("Politics",Parsed!$C$2:$C$10,0)),INDEX(Parsed!$M$2:$M$190,(MATCH(A31,Data!$B$2:$B$22,0)-1)*9+MATCH("Politics",Parsed!$C$2:$C$10,0))*INDEX(Parsed!$I$2:$I$190,(MATCH(B31,Data!$B$2:$B$22,0)-1)*9+MATCH("Politics",Parsed!$C$2:$C$10,0)),0)+IF(INDEX(Parsed!$K$2:$K$190,(MATCH(A31,Data!$B$2:$B$22,0)-1)*9+MATCH("Marriage",Parsed!$C$2:$C$10,0))=INDEX(Parsed!$H$2:$H$190,(MATCH(B31,Data!$B$2:$B$22,0)-1)*9+MATCH("Marriage",Parsed!$C$2:$C$10,0)),INDEX(Parsed!$M$2:$M$190,(MATCH(A31,Data!$B$2:$B$22,0)-1)*9+MATCH("Marriage",Parsed!$C$2:$C$10,0))*INDEX(Parsed!$I$2:$I$190,(MATCH(B31,Data!$B$2:$B$22,0)-1)*9+MATCH("Marriage",Parsed!$C$2:$C$10,0)),0)+IF(INDEX(Parsed!$K$2:$K$190,(MATCH(A31,Data!$B$2:$B$22,0)-1)*9+MATCH("Children",Parsed!$C$2:$C$10,0))=INDEX(Parsed!$H$2:$H$190,(MATCH(B31,Data!$B$2:$B$22,0)-1)*9+MATCH("Children",Parsed!$C$2:$C$10,0)),INDEX(Parsed!$M$2:$M$190,(MATCH(A31,Data!$B$2:$B$22,0)-1)*9+MATCH("Children",Parsed!$C$2:$C$10,0))*INDEX(Parsed!$I$2:$I$190,(MATCH(B31,Data!$B$2:$B$22,0)-1)*9+MATCH("Children",Parsed!$C$2:$C$10,0)),0)+IF(INDEX(Parsed!$K$2:$K$190,(MATCH(A31,Data!$B$2:$B$22,0)-1)*9+MATCH("Ethicity",Parsed!$C$2:$C$10,0))=INDEX(Parsed!$H$2:$H$190,(MATCH(B31,Data!$B$2:$B$22,0)-1)*9+MATCH("Ethicity",Parsed!$C$2:$C$10,0)),INDEX(Parsed!$M$2:$M$190,(MATCH(A31,Data!$B$2:$B$22,0)-1)*9+MATCH("Ethicity",Parsed!$C$2:$C$10,0))*INDEX(Parsed!$I$2:$I$190,(MATCH(B31,Data!$B$2:$B$22,0)-1)*9+MATCH("Ethicity",Parsed!$C$2:$C$10,0)),0)+IF(INDEX(Parsed!$K$2:$K$190,(MATCH(A31,Data!$B$2:$B$22,0)-1)*9+MATCH("Past",Parsed!$C$2:$C$10,0))=INDEX(Parsed!$H$2:$H$190,(MATCH(B31,Data!$B$2:$B$22,0)-1)*9+MATCH("Past",Parsed!$C$2:$C$10,0)),INDEX(Parsed!$M$2:$M$190,(MATCH(A31,Data!$B$2:$B$22,0)-1)*9+MATCH("Past",Parsed!$C$2:$C$10,0))*INDEX(Parsed!$I$2:$I$190,(MATCH(B31,Data!$B$2:$B$22,0)-1)*9+MATCH("Past",Parsed!$C$2:$C$10,0)),0)+IF(INDEX(Parsed!$K$2:$K$190,(MATCH(A31,Data!$B$2:$B$22,0)-1)*9+MATCH("D/S",Parsed!$C$2:$C$10,0))=INDEX(Parsed!$H$2:$H$190,(MATCH(B31,Data!$B$2:$B$22,0)-1)*9+MATCH("D/S",Parsed!$C$2:$C$10,0)),INDEX(Parsed!$M$2:$M$190,(MATCH(A31,Data!$B$2:$B$22,0)-1)*9+MATCH("D/S",Parsed!$C$2:$C$10,0))*INDEX(Parsed!$I$2:$I$190,(MATCH(B31,Data!$B$2:$B$22,0)-1)*9+MATCH("D/S",Parsed!$C$2:$C$10,0)),0)+IF(INDEX(Parsed!$K$2:$K$190,(MATCH(A31,Data!$B$2:$B$22,0)-1)*9+MATCH("True/kind",Parsed!$C$2:$C$10,0))=INDEX(Parsed!$H$2:$H$190,(MATCH(B31,Data!$B$2:$B$22,0)-1)*9+MATCH("True/kind",Parsed!$C$2:$C$10,0)),INDEX(Parsed!$M$2:$M$190,(MATCH(A31,Data!$B$2:$B$22,0)-1)*9+MATCH("True/kind",Parsed!$C$2:$C$10,0))*INDEX(Parsed!$I$2:$I$190,(MATCH(B31,Data!$B$2:$B$22,0)-1)*9+MATCH("True/kind",Parsed!$C$2:$C$10,0)),0)+IF(INDEX(Parsed!$K$2:$K$190,(MATCH(A31,Data!$B$2:$B$22,0)-1)*9+MATCH("Animal",Parsed!$C$2:$C$10,0))=INDEX(Parsed!$H$2:$H$190,(MATCH(B31,Data!$B$2:$B$22,0)-1)*9+MATCH("Animal",Parsed!$C$2:$C$10,0)),INDEX(Parsed!$M$2:$M$190,(MATCH(A31,Data!$B$2:$B$22,0)-1)*9+MATCH("Animal",Parsed!$C$2:$C$10,0))*INDEX(Parsed!$I$2:$I$190,(MATCH(B31,Data!$B$2:$B$22,0)-1)*9+MATCH("Animal",Parsed!$C$2:$C$10,0)),0),0)</x:f>
        <x:v>30</x:v>
      </x:c>
      <x:c r="E31" s="11" t="n">
        <x:f>SQRT(C31*D31)</x:f>
        <x:v>34.64101615137755</x:v>
      </x:c>
    </x:row>
    <x:row r="32">
      <x:c r="A32" t="str">
        <x:v>arthur</x:v>
      </x:c>
      <x:c r="B32" t="str">
        <x:v>edith</x:v>
      </x:c>
      <x:c r="C32" s="11" t="n">
        <x:f>IFERROR(IF(INDEX(Parsed!$K$2:$K$190,(MATCH(B32,Data!$B$2:$B$22,0)-1)*9+MATCH("God",Parsed!$C$2:$C$10,0))=INDEX(Parsed!$H$2:$H$190,(MATCH(A32,Data!$B$2:$B$22,0)-1)*9+MATCH("God",Parsed!$C$2:$C$10,0)),INDEX(Parsed!$M$2:$M$190,(MATCH(B32,Data!$B$2:$B$22,0)-1)*9+MATCH("God",Parsed!$C$2:$C$10,0))*INDEX(Parsed!$I$2:$I$190,(MATCH(A32,Data!$B$2:$B$22,0)-1)*9+MATCH("God",Parsed!$C$2:$C$10,0)),0)+IF(INDEX(Parsed!$K$2:$K$190,(MATCH(B32,Data!$B$2:$B$22,0)-1)*9+MATCH("Politics",Parsed!$C$2:$C$10,0))=INDEX(Parsed!$H$2:$H$190,(MATCH(A32,Data!$B$2:$B$22,0)-1)*9+MATCH("Politics",Parsed!$C$2:$C$10,0)),INDEX(Parsed!$M$2:$M$190,(MATCH(B32,Data!$B$2:$B$22,0)-1)*9+MATCH("Politics",Parsed!$C$2:$C$10,0))*INDEX(Parsed!$I$2:$I$190,(MATCH(A32,Data!$B$2:$B$22,0)-1)*9+MATCH("Politics",Parsed!$C$2:$C$10,0)),0)+IF(INDEX(Parsed!$K$2:$K$190,(MATCH(B32,Data!$B$2:$B$22,0)-1)*9+MATCH("Marriage",Parsed!$C$2:$C$10,0))=INDEX(Parsed!$H$2:$H$190,(MATCH(A32,Data!$B$2:$B$22,0)-1)*9+MATCH("Marriage",Parsed!$C$2:$C$10,0)),INDEX(Parsed!$M$2:$M$190,(MATCH(B32,Data!$B$2:$B$22,0)-1)*9+MATCH("Marriage",Parsed!$C$2:$C$10,0))*INDEX(Parsed!$I$2:$I$190,(MATCH(A32,Data!$B$2:$B$22,0)-1)*9+MATCH("Marriage",Parsed!$C$2:$C$10,0)),0)+IF(INDEX(Parsed!$K$2:$K$190,(MATCH(B32,Data!$B$2:$B$22,0)-1)*9+MATCH("Children",Parsed!$C$2:$C$10,0))=INDEX(Parsed!$H$2:$H$190,(MATCH(A32,Data!$B$2:$B$22,0)-1)*9+MATCH("Children",Parsed!$C$2:$C$10,0)),INDEX(Parsed!$M$2:$M$190,(MATCH(B32,Data!$B$2:$B$22,0)-1)*9+MATCH("Children",Parsed!$C$2:$C$10,0))*INDEX(Parsed!$I$2:$I$190,(MATCH(A32,Data!$B$2:$B$22,0)-1)*9+MATCH("Children",Parsed!$C$2:$C$10,0)),0)+IF(INDEX(Parsed!$K$2:$K$190,(MATCH(B32,Data!$B$2:$B$22,0)-1)*9+MATCH("Ethicity",Parsed!$C$2:$C$10,0))=INDEX(Parsed!$H$2:$H$190,(MATCH(A32,Data!$B$2:$B$22,0)-1)*9+MATCH("Ethicity",Parsed!$C$2:$C$10,0)),INDEX(Parsed!$M$2:$M$190,(MATCH(B32,Data!$B$2:$B$22,0)-1)*9+MATCH("Ethicity",Parsed!$C$2:$C$10,0))*INDEX(Parsed!$I$2:$I$190,(MATCH(A32,Data!$B$2:$B$22,0)-1)*9+MATCH("Ethicity",Parsed!$C$2:$C$10,0)),0)+IF(INDEX(Parsed!$K$2:$K$190,(MATCH(B32,Data!$B$2:$B$22,0)-1)*9+MATCH("Past",Parsed!$C$2:$C$10,0))=INDEX(Parsed!$H$2:$H$190,(MATCH(A32,Data!$B$2:$B$22,0)-1)*9+MATCH("Past",Parsed!$C$2:$C$10,0)),INDEX(Parsed!$M$2:$M$190,(MATCH(B32,Data!$B$2:$B$22,0)-1)*9+MATCH("Past",Parsed!$C$2:$C$10,0))*INDEX(Parsed!$I$2:$I$190,(MATCH(A32,Data!$B$2:$B$22,0)-1)*9+MATCH("Past",Parsed!$C$2:$C$10,0)),0)+IF(INDEX(Parsed!$K$2:$K$190,(MATCH(B32,Data!$B$2:$B$22,0)-1)*9+MATCH("D/S",Parsed!$C$2:$C$10,0))=INDEX(Parsed!$H$2:$H$190,(MATCH(A32,Data!$B$2:$B$22,0)-1)*9+MATCH("D/S",Parsed!$C$2:$C$10,0)),INDEX(Parsed!$M$2:$M$190,(MATCH(B32,Data!$B$2:$B$22,0)-1)*9+MATCH("D/S",Parsed!$C$2:$C$10,0))*INDEX(Parsed!$I$2:$I$190,(MATCH(A32,Data!$B$2:$B$22,0)-1)*9+MATCH("D/S",Parsed!$C$2:$C$10,0)),0)+IF(INDEX(Parsed!$K$2:$K$190,(MATCH(B32,Data!$B$2:$B$22,0)-1)*9+MATCH("True/kind",Parsed!$C$2:$C$10,0))=INDEX(Parsed!$H$2:$H$190,(MATCH(A32,Data!$B$2:$B$22,0)-1)*9+MATCH("True/kind",Parsed!$C$2:$C$10,0)),INDEX(Parsed!$M$2:$M$190,(MATCH(B32,Data!$B$2:$B$22,0)-1)*9+MATCH("True/kind",Parsed!$C$2:$C$10,0))*INDEX(Parsed!$I$2:$I$190,(MATCH(A32,Data!$B$2:$B$22,0)-1)*9+MATCH("True/kind",Parsed!$C$2:$C$10,0)),0)+IF(INDEX(Parsed!$K$2:$K$190,(MATCH(B32,Data!$B$2:$B$22,0)-1)*9+MATCH("Animal",Parsed!$C$2:$C$10,0))=INDEX(Parsed!$H$2:$H$190,(MATCH(A32,Data!$B$2:$B$22,0)-1)*9+MATCH("Animal",Parsed!$C$2:$C$10,0)),INDEX(Parsed!$M$2:$M$190,(MATCH(B32,Data!$B$2:$B$22,0)-1)*9+MATCH("Animal",Parsed!$C$2:$C$10,0))*INDEX(Parsed!$I$2:$I$190,(MATCH(A32,Data!$B$2:$B$22,0)-1)*9+MATCH("Animal",Parsed!$C$2:$C$10,0)),0),0)</x:f>
        <x:v>80</x:v>
      </x:c>
      <x:c r="D32" s="11" t="n">
        <x:f>IFERROR(IF(INDEX(Parsed!$K$2:$K$190,(MATCH(A32,Data!$B$2:$B$22,0)-1)*9+MATCH("God",Parsed!$C$2:$C$10,0))=INDEX(Parsed!$H$2:$H$190,(MATCH(B32,Data!$B$2:$B$22,0)-1)*9+MATCH("God",Parsed!$C$2:$C$10,0)),INDEX(Parsed!$M$2:$M$190,(MATCH(A32,Data!$B$2:$B$22,0)-1)*9+MATCH("God",Parsed!$C$2:$C$10,0))*INDEX(Parsed!$I$2:$I$190,(MATCH(B32,Data!$B$2:$B$22,0)-1)*9+MATCH("God",Parsed!$C$2:$C$10,0)),0)+IF(INDEX(Parsed!$K$2:$K$190,(MATCH(A32,Data!$B$2:$B$22,0)-1)*9+MATCH("Politics",Parsed!$C$2:$C$10,0))=INDEX(Parsed!$H$2:$H$190,(MATCH(B32,Data!$B$2:$B$22,0)-1)*9+MATCH("Politics",Parsed!$C$2:$C$10,0)),INDEX(Parsed!$M$2:$M$190,(MATCH(A32,Data!$B$2:$B$22,0)-1)*9+MATCH("Politics",Parsed!$C$2:$C$10,0))*INDEX(Parsed!$I$2:$I$190,(MATCH(B32,Data!$B$2:$B$22,0)-1)*9+MATCH("Politics",Parsed!$C$2:$C$10,0)),0)+IF(INDEX(Parsed!$K$2:$K$190,(MATCH(A32,Data!$B$2:$B$22,0)-1)*9+MATCH("Marriage",Parsed!$C$2:$C$10,0))=INDEX(Parsed!$H$2:$H$190,(MATCH(B32,Data!$B$2:$B$22,0)-1)*9+MATCH("Marriage",Parsed!$C$2:$C$10,0)),INDEX(Parsed!$M$2:$M$190,(MATCH(A32,Data!$B$2:$B$22,0)-1)*9+MATCH("Marriage",Parsed!$C$2:$C$10,0))*INDEX(Parsed!$I$2:$I$190,(MATCH(B32,Data!$B$2:$B$22,0)-1)*9+MATCH("Marriage",Parsed!$C$2:$C$10,0)),0)+IF(INDEX(Parsed!$K$2:$K$190,(MATCH(A32,Data!$B$2:$B$22,0)-1)*9+MATCH("Children",Parsed!$C$2:$C$10,0))=INDEX(Parsed!$H$2:$H$190,(MATCH(B32,Data!$B$2:$B$22,0)-1)*9+MATCH("Children",Parsed!$C$2:$C$10,0)),INDEX(Parsed!$M$2:$M$190,(MATCH(A32,Data!$B$2:$B$22,0)-1)*9+MATCH("Children",Parsed!$C$2:$C$10,0))*INDEX(Parsed!$I$2:$I$190,(MATCH(B32,Data!$B$2:$B$22,0)-1)*9+MATCH("Children",Parsed!$C$2:$C$10,0)),0)+IF(INDEX(Parsed!$K$2:$K$190,(MATCH(A32,Data!$B$2:$B$22,0)-1)*9+MATCH("Ethicity",Parsed!$C$2:$C$10,0))=INDEX(Parsed!$H$2:$H$190,(MATCH(B32,Data!$B$2:$B$22,0)-1)*9+MATCH("Ethicity",Parsed!$C$2:$C$10,0)),INDEX(Parsed!$M$2:$M$190,(MATCH(A32,Data!$B$2:$B$22,0)-1)*9+MATCH("Ethicity",Parsed!$C$2:$C$10,0))*INDEX(Parsed!$I$2:$I$190,(MATCH(B32,Data!$B$2:$B$22,0)-1)*9+MATCH("Ethicity",Parsed!$C$2:$C$10,0)),0)+IF(INDEX(Parsed!$K$2:$K$190,(MATCH(A32,Data!$B$2:$B$22,0)-1)*9+MATCH("Past",Parsed!$C$2:$C$10,0))=INDEX(Parsed!$H$2:$H$190,(MATCH(B32,Data!$B$2:$B$22,0)-1)*9+MATCH("Past",Parsed!$C$2:$C$10,0)),INDEX(Parsed!$M$2:$M$190,(MATCH(A32,Data!$B$2:$B$22,0)-1)*9+MATCH("Past",Parsed!$C$2:$C$10,0))*INDEX(Parsed!$I$2:$I$190,(MATCH(B32,Data!$B$2:$B$22,0)-1)*9+MATCH("Past",Parsed!$C$2:$C$10,0)),0)+IF(INDEX(Parsed!$K$2:$K$190,(MATCH(A32,Data!$B$2:$B$22,0)-1)*9+MATCH("D/S",Parsed!$C$2:$C$10,0))=INDEX(Parsed!$H$2:$H$190,(MATCH(B32,Data!$B$2:$B$22,0)-1)*9+MATCH("D/S",Parsed!$C$2:$C$10,0)),INDEX(Parsed!$M$2:$M$190,(MATCH(A32,Data!$B$2:$B$22,0)-1)*9+MATCH("D/S",Parsed!$C$2:$C$10,0))*INDEX(Parsed!$I$2:$I$190,(MATCH(B32,Data!$B$2:$B$22,0)-1)*9+MATCH("D/S",Parsed!$C$2:$C$10,0)),0)+IF(INDEX(Parsed!$K$2:$K$190,(MATCH(A32,Data!$B$2:$B$22,0)-1)*9+MATCH("True/kind",Parsed!$C$2:$C$10,0))=INDEX(Parsed!$H$2:$H$190,(MATCH(B32,Data!$B$2:$B$22,0)-1)*9+MATCH("True/kind",Parsed!$C$2:$C$10,0)),INDEX(Parsed!$M$2:$M$190,(MATCH(A32,Data!$B$2:$B$22,0)-1)*9+MATCH("True/kind",Parsed!$C$2:$C$10,0))*INDEX(Parsed!$I$2:$I$190,(MATCH(B32,Data!$B$2:$B$22,0)-1)*9+MATCH("True/kind",Parsed!$C$2:$C$10,0)),0)+IF(INDEX(Parsed!$K$2:$K$190,(MATCH(A32,Data!$B$2:$B$22,0)-1)*9+MATCH("Animal",Parsed!$C$2:$C$10,0))=INDEX(Parsed!$H$2:$H$190,(MATCH(B32,Data!$B$2:$B$22,0)-1)*9+MATCH("Animal",Parsed!$C$2:$C$10,0)),INDEX(Parsed!$M$2:$M$190,(MATCH(A32,Data!$B$2:$B$22,0)-1)*9+MATCH("Animal",Parsed!$C$2:$C$10,0))*INDEX(Parsed!$I$2:$I$190,(MATCH(B32,Data!$B$2:$B$22,0)-1)*9+MATCH("Animal",Parsed!$C$2:$C$10,0)),0),0)</x:f>
        <x:v>8.75</x:v>
      </x:c>
      <x:c r="E32" s="11" t="n">
        <x:f>SQRT(C32*D32)</x:f>
        <x:v>26.457513110645905</x:v>
      </x:c>
    </x:row>
    <x:row r="33">
      <x:c r="A33" t="str">
        <x:v>arthur</x:v>
      </x:c>
      <x:c r="B33" t="str">
        <x:v>sophiah</x:v>
      </x:c>
      <x:c r="C33" s="11" t="n">
        <x:f>IFERROR(IF(INDEX(Parsed!$K$2:$K$190,(MATCH(B33,Data!$B$2:$B$22,0)-1)*9+MATCH("God",Parsed!$C$2:$C$10,0))=INDEX(Parsed!$H$2:$H$190,(MATCH(A33,Data!$B$2:$B$22,0)-1)*9+MATCH("God",Parsed!$C$2:$C$10,0)),INDEX(Parsed!$M$2:$M$190,(MATCH(B33,Data!$B$2:$B$22,0)-1)*9+MATCH("God",Parsed!$C$2:$C$10,0))*INDEX(Parsed!$I$2:$I$190,(MATCH(A33,Data!$B$2:$B$22,0)-1)*9+MATCH("God",Parsed!$C$2:$C$10,0)),0)+IF(INDEX(Parsed!$K$2:$K$190,(MATCH(B33,Data!$B$2:$B$22,0)-1)*9+MATCH("Politics",Parsed!$C$2:$C$10,0))=INDEX(Parsed!$H$2:$H$190,(MATCH(A33,Data!$B$2:$B$22,0)-1)*9+MATCH("Politics",Parsed!$C$2:$C$10,0)),INDEX(Parsed!$M$2:$M$190,(MATCH(B33,Data!$B$2:$B$22,0)-1)*9+MATCH("Politics",Parsed!$C$2:$C$10,0))*INDEX(Parsed!$I$2:$I$190,(MATCH(A33,Data!$B$2:$B$22,0)-1)*9+MATCH("Politics",Parsed!$C$2:$C$10,0)),0)+IF(INDEX(Parsed!$K$2:$K$190,(MATCH(B33,Data!$B$2:$B$22,0)-1)*9+MATCH("Marriage",Parsed!$C$2:$C$10,0))=INDEX(Parsed!$H$2:$H$190,(MATCH(A33,Data!$B$2:$B$22,0)-1)*9+MATCH("Marriage",Parsed!$C$2:$C$10,0)),INDEX(Parsed!$M$2:$M$190,(MATCH(B33,Data!$B$2:$B$22,0)-1)*9+MATCH("Marriage",Parsed!$C$2:$C$10,0))*INDEX(Parsed!$I$2:$I$190,(MATCH(A33,Data!$B$2:$B$22,0)-1)*9+MATCH("Marriage",Parsed!$C$2:$C$10,0)),0)+IF(INDEX(Parsed!$K$2:$K$190,(MATCH(B33,Data!$B$2:$B$22,0)-1)*9+MATCH("Children",Parsed!$C$2:$C$10,0))=INDEX(Parsed!$H$2:$H$190,(MATCH(A33,Data!$B$2:$B$22,0)-1)*9+MATCH("Children",Parsed!$C$2:$C$10,0)),INDEX(Parsed!$M$2:$M$190,(MATCH(B33,Data!$B$2:$B$22,0)-1)*9+MATCH("Children",Parsed!$C$2:$C$10,0))*INDEX(Parsed!$I$2:$I$190,(MATCH(A33,Data!$B$2:$B$22,0)-1)*9+MATCH("Children",Parsed!$C$2:$C$10,0)),0)+IF(INDEX(Parsed!$K$2:$K$190,(MATCH(B33,Data!$B$2:$B$22,0)-1)*9+MATCH("Ethicity",Parsed!$C$2:$C$10,0))=INDEX(Parsed!$H$2:$H$190,(MATCH(A33,Data!$B$2:$B$22,0)-1)*9+MATCH("Ethicity",Parsed!$C$2:$C$10,0)),INDEX(Parsed!$M$2:$M$190,(MATCH(B33,Data!$B$2:$B$22,0)-1)*9+MATCH("Ethicity",Parsed!$C$2:$C$10,0))*INDEX(Parsed!$I$2:$I$190,(MATCH(A33,Data!$B$2:$B$22,0)-1)*9+MATCH("Ethicity",Parsed!$C$2:$C$10,0)),0)+IF(INDEX(Parsed!$K$2:$K$190,(MATCH(B33,Data!$B$2:$B$22,0)-1)*9+MATCH("Past",Parsed!$C$2:$C$10,0))=INDEX(Parsed!$H$2:$H$190,(MATCH(A33,Data!$B$2:$B$22,0)-1)*9+MATCH("Past",Parsed!$C$2:$C$10,0)),INDEX(Parsed!$M$2:$M$190,(MATCH(B33,Data!$B$2:$B$22,0)-1)*9+MATCH("Past",Parsed!$C$2:$C$10,0))*INDEX(Parsed!$I$2:$I$190,(MATCH(A33,Data!$B$2:$B$22,0)-1)*9+MATCH("Past",Parsed!$C$2:$C$10,0)),0)+IF(INDEX(Parsed!$K$2:$K$190,(MATCH(B33,Data!$B$2:$B$22,0)-1)*9+MATCH("D/S",Parsed!$C$2:$C$10,0))=INDEX(Parsed!$H$2:$H$190,(MATCH(A33,Data!$B$2:$B$22,0)-1)*9+MATCH("D/S",Parsed!$C$2:$C$10,0)),INDEX(Parsed!$M$2:$M$190,(MATCH(B33,Data!$B$2:$B$22,0)-1)*9+MATCH("D/S",Parsed!$C$2:$C$10,0))*INDEX(Parsed!$I$2:$I$190,(MATCH(A33,Data!$B$2:$B$22,0)-1)*9+MATCH("D/S",Parsed!$C$2:$C$10,0)),0)+IF(INDEX(Parsed!$K$2:$K$190,(MATCH(B33,Data!$B$2:$B$22,0)-1)*9+MATCH("True/kind",Parsed!$C$2:$C$10,0))=INDEX(Parsed!$H$2:$H$190,(MATCH(A33,Data!$B$2:$B$22,0)-1)*9+MATCH("True/kind",Parsed!$C$2:$C$10,0)),INDEX(Parsed!$M$2:$M$190,(MATCH(B33,Data!$B$2:$B$22,0)-1)*9+MATCH("True/kind",Parsed!$C$2:$C$10,0))*INDEX(Parsed!$I$2:$I$190,(MATCH(A33,Data!$B$2:$B$22,0)-1)*9+MATCH("True/kind",Parsed!$C$2:$C$10,0)),0)+IF(INDEX(Parsed!$K$2:$K$190,(MATCH(B33,Data!$B$2:$B$22,0)-1)*9+MATCH("Animal",Parsed!$C$2:$C$10,0))=INDEX(Parsed!$H$2:$H$190,(MATCH(A33,Data!$B$2:$B$22,0)-1)*9+MATCH("Animal",Parsed!$C$2:$C$10,0)),INDEX(Parsed!$M$2:$M$190,(MATCH(B33,Data!$B$2:$B$22,0)-1)*9+MATCH("Animal",Parsed!$C$2:$C$10,0))*INDEX(Parsed!$I$2:$I$190,(MATCH(A33,Data!$B$2:$B$22,0)-1)*9+MATCH("Animal",Parsed!$C$2:$C$10,0)),0),0)</x:f>
        <x:v>38.75</x:v>
      </x:c>
      <x:c r="D33" s="11" t="n">
        <x:f>IFERROR(IF(INDEX(Parsed!$K$2:$K$190,(MATCH(A33,Data!$B$2:$B$22,0)-1)*9+MATCH("God",Parsed!$C$2:$C$10,0))=INDEX(Parsed!$H$2:$H$190,(MATCH(B33,Data!$B$2:$B$22,0)-1)*9+MATCH("God",Parsed!$C$2:$C$10,0)),INDEX(Parsed!$M$2:$M$190,(MATCH(A33,Data!$B$2:$B$22,0)-1)*9+MATCH("God",Parsed!$C$2:$C$10,0))*INDEX(Parsed!$I$2:$I$190,(MATCH(B33,Data!$B$2:$B$22,0)-1)*9+MATCH("God",Parsed!$C$2:$C$10,0)),0)+IF(INDEX(Parsed!$K$2:$K$190,(MATCH(A33,Data!$B$2:$B$22,0)-1)*9+MATCH("Politics",Parsed!$C$2:$C$10,0))=INDEX(Parsed!$H$2:$H$190,(MATCH(B33,Data!$B$2:$B$22,0)-1)*9+MATCH("Politics",Parsed!$C$2:$C$10,0)),INDEX(Parsed!$M$2:$M$190,(MATCH(A33,Data!$B$2:$B$22,0)-1)*9+MATCH("Politics",Parsed!$C$2:$C$10,0))*INDEX(Parsed!$I$2:$I$190,(MATCH(B33,Data!$B$2:$B$22,0)-1)*9+MATCH("Politics",Parsed!$C$2:$C$10,0)),0)+IF(INDEX(Parsed!$K$2:$K$190,(MATCH(A33,Data!$B$2:$B$22,0)-1)*9+MATCH("Marriage",Parsed!$C$2:$C$10,0))=INDEX(Parsed!$H$2:$H$190,(MATCH(B33,Data!$B$2:$B$22,0)-1)*9+MATCH("Marriage",Parsed!$C$2:$C$10,0)),INDEX(Parsed!$M$2:$M$190,(MATCH(A33,Data!$B$2:$B$22,0)-1)*9+MATCH("Marriage",Parsed!$C$2:$C$10,0))*INDEX(Parsed!$I$2:$I$190,(MATCH(B33,Data!$B$2:$B$22,0)-1)*9+MATCH("Marriage",Parsed!$C$2:$C$10,0)),0)+IF(INDEX(Parsed!$K$2:$K$190,(MATCH(A33,Data!$B$2:$B$22,0)-1)*9+MATCH("Children",Parsed!$C$2:$C$10,0))=INDEX(Parsed!$H$2:$H$190,(MATCH(B33,Data!$B$2:$B$22,0)-1)*9+MATCH("Children",Parsed!$C$2:$C$10,0)),INDEX(Parsed!$M$2:$M$190,(MATCH(A33,Data!$B$2:$B$22,0)-1)*9+MATCH("Children",Parsed!$C$2:$C$10,0))*INDEX(Parsed!$I$2:$I$190,(MATCH(B33,Data!$B$2:$B$22,0)-1)*9+MATCH("Children",Parsed!$C$2:$C$10,0)),0)+IF(INDEX(Parsed!$K$2:$K$190,(MATCH(A33,Data!$B$2:$B$22,0)-1)*9+MATCH("Ethicity",Parsed!$C$2:$C$10,0))=INDEX(Parsed!$H$2:$H$190,(MATCH(B33,Data!$B$2:$B$22,0)-1)*9+MATCH("Ethicity",Parsed!$C$2:$C$10,0)),INDEX(Parsed!$M$2:$M$190,(MATCH(A33,Data!$B$2:$B$22,0)-1)*9+MATCH("Ethicity",Parsed!$C$2:$C$10,0))*INDEX(Parsed!$I$2:$I$190,(MATCH(B33,Data!$B$2:$B$22,0)-1)*9+MATCH("Ethicity",Parsed!$C$2:$C$10,0)),0)+IF(INDEX(Parsed!$K$2:$K$190,(MATCH(A33,Data!$B$2:$B$22,0)-1)*9+MATCH("Past",Parsed!$C$2:$C$10,0))=INDEX(Parsed!$H$2:$H$190,(MATCH(B33,Data!$B$2:$B$22,0)-1)*9+MATCH("Past",Parsed!$C$2:$C$10,0)),INDEX(Parsed!$M$2:$M$190,(MATCH(A33,Data!$B$2:$B$22,0)-1)*9+MATCH("Past",Parsed!$C$2:$C$10,0))*INDEX(Parsed!$I$2:$I$190,(MATCH(B33,Data!$B$2:$B$22,0)-1)*9+MATCH("Past",Parsed!$C$2:$C$10,0)),0)+IF(INDEX(Parsed!$K$2:$K$190,(MATCH(A33,Data!$B$2:$B$22,0)-1)*9+MATCH("D/S",Parsed!$C$2:$C$10,0))=INDEX(Parsed!$H$2:$H$190,(MATCH(B33,Data!$B$2:$B$22,0)-1)*9+MATCH("D/S",Parsed!$C$2:$C$10,0)),INDEX(Parsed!$M$2:$M$190,(MATCH(A33,Data!$B$2:$B$22,0)-1)*9+MATCH("D/S",Parsed!$C$2:$C$10,0))*INDEX(Parsed!$I$2:$I$190,(MATCH(B33,Data!$B$2:$B$22,0)-1)*9+MATCH("D/S",Parsed!$C$2:$C$10,0)),0)+IF(INDEX(Parsed!$K$2:$K$190,(MATCH(A33,Data!$B$2:$B$22,0)-1)*9+MATCH("True/kind",Parsed!$C$2:$C$10,0))=INDEX(Parsed!$H$2:$H$190,(MATCH(B33,Data!$B$2:$B$22,0)-1)*9+MATCH("True/kind",Parsed!$C$2:$C$10,0)),INDEX(Parsed!$M$2:$M$190,(MATCH(A33,Data!$B$2:$B$22,0)-1)*9+MATCH("True/kind",Parsed!$C$2:$C$10,0))*INDEX(Parsed!$I$2:$I$190,(MATCH(B33,Data!$B$2:$B$22,0)-1)*9+MATCH("True/kind",Parsed!$C$2:$C$10,0)),0)+IF(INDEX(Parsed!$K$2:$K$190,(MATCH(A33,Data!$B$2:$B$22,0)-1)*9+MATCH("Animal",Parsed!$C$2:$C$10,0))=INDEX(Parsed!$H$2:$H$190,(MATCH(B33,Data!$B$2:$B$22,0)-1)*9+MATCH("Animal",Parsed!$C$2:$C$10,0)),INDEX(Parsed!$M$2:$M$190,(MATCH(A33,Data!$B$2:$B$22,0)-1)*9+MATCH("Animal",Parsed!$C$2:$C$10,0))*INDEX(Parsed!$I$2:$I$190,(MATCH(B33,Data!$B$2:$B$22,0)-1)*9+MATCH("Animal",Parsed!$C$2:$C$10,0)),0),0)</x:f>
        <x:v>26.25</x:v>
      </x:c>
      <x:c r="E33" s="11" t="n">
        <x:f>SQRT(C33*D33)</x:f>
        <x:v>31.893377055432683</x:v>
      </x:c>
    </x:row>
    <x:row r="34">
      <x:c r="A34" t="str">
        <x:v>arthur</x:v>
      </x:c>
      <x:c r="B34" t="str">
        <x:v>angela</x:v>
      </x:c>
      <x:c r="C34" s="11" t="n">
        <x:f>IFERROR(IF(INDEX(Parsed!$K$2:$K$190,(MATCH(B34,Data!$B$2:$B$22,0)-1)*9+MATCH("God",Parsed!$C$2:$C$10,0))=INDEX(Parsed!$H$2:$H$190,(MATCH(A34,Data!$B$2:$B$22,0)-1)*9+MATCH("God",Parsed!$C$2:$C$10,0)),INDEX(Parsed!$M$2:$M$190,(MATCH(B34,Data!$B$2:$B$22,0)-1)*9+MATCH("God",Parsed!$C$2:$C$10,0))*INDEX(Parsed!$I$2:$I$190,(MATCH(A34,Data!$B$2:$B$22,0)-1)*9+MATCH("God",Parsed!$C$2:$C$10,0)),0)+IF(INDEX(Parsed!$K$2:$K$190,(MATCH(B34,Data!$B$2:$B$22,0)-1)*9+MATCH("Politics",Parsed!$C$2:$C$10,0))=INDEX(Parsed!$H$2:$H$190,(MATCH(A34,Data!$B$2:$B$22,0)-1)*9+MATCH("Politics",Parsed!$C$2:$C$10,0)),INDEX(Parsed!$M$2:$M$190,(MATCH(B34,Data!$B$2:$B$22,0)-1)*9+MATCH("Politics",Parsed!$C$2:$C$10,0))*INDEX(Parsed!$I$2:$I$190,(MATCH(A34,Data!$B$2:$B$22,0)-1)*9+MATCH("Politics",Parsed!$C$2:$C$10,0)),0)+IF(INDEX(Parsed!$K$2:$K$190,(MATCH(B34,Data!$B$2:$B$22,0)-1)*9+MATCH("Marriage",Parsed!$C$2:$C$10,0))=INDEX(Parsed!$H$2:$H$190,(MATCH(A34,Data!$B$2:$B$22,0)-1)*9+MATCH("Marriage",Parsed!$C$2:$C$10,0)),INDEX(Parsed!$M$2:$M$190,(MATCH(B34,Data!$B$2:$B$22,0)-1)*9+MATCH("Marriage",Parsed!$C$2:$C$10,0))*INDEX(Parsed!$I$2:$I$190,(MATCH(A34,Data!$B$2:$B$22,0)-1)*9+MATCH("Marriage",Parsed!$C$2:$C$10,0)),0)+IF(INDEX(Parsed!$K$2:$K$190,(MATCH(B34,Data!$B$2:$B$22,0)-1)*9+MATCH("Children",Parsed!$C$2:$C$10,0))=INDEX(Parsed!$H$2:$H$190,(MATCH(A34,Data!$B$2:$B$22,0)-1)*9+MATCH("Children",Parsed!$C$2:$C$10,0)),INDEX(Parsed!$M$2:$M$190,(MATCH(B34,Data!$B$2:$B$22,0)-1)*9+MATCH("Children",Parsed!$C$2:$C$10,0))*INDEX(Parsed!$I$2:$I$190,(MATCH(A34,Data!$B$2:$B$22,0)-1)*9+MATCH("Children",Parsed!$C$2:$C$10,0)),0)+IF(INDEX(Parsed!$K$2:$K$190,(MATCH(B34,Data!$B$2:$B$22,0)-1)*9+MATCH("Ethicity",Parsed!$C$2:$C$10,0))=INDEX(Parsed!$H$2:$H$190,(MATCH(A34,Data!$B$2:$B$22,0)-1)*9+MATCH("Ethicity",Parsed!$C$2:$C$10,0)),INDEX(Parsed!$M$2:$M$190,(MATCH(B34,Data!$B$2:$B$22,0)-1)*9+MATCH("Ethicity",Parsed!$C$2:$C$10,0))*INDEX(Parsed!$I$2:$I$190,(MATCH(A34,Data!$B$2:$B$22,0)-1)*9+MATCH("Ethicity",Parsed!$C$2:$C$10,0)),0)+IF(INDEX(Parsed!$K$2:$K$190,(MATCH(B34,Data!$B$2:$B$22,0)-1)*9+MATCH("Past",Parsed!$C$2:$C$10,0))=INDEX(Parsed!$H$2:$H$190,(MATCH(A34,Data!$B$2:$B$22,0)-1)*9+MATCH("Past",Parsed!$C$2:$C$10,0)),INDEX(Parsed!$M$2:$M$190,(MATCH(B34,Data!$B$2:$B$22,0)-1)*9+MATCH("Past",Parsed!$C$2:$C$10,0))*INDEX(Parsed!$I$2:$I$190,(MATCH(A34,Data!$B$2:$B$22,0)-1)*9+MATCH("Past",Parsed!$C$2:$C$10,0)),0)+IF(INDEX(Parsed!$K$2:$K$190,(MATCH(B34,Data!$B$2:$B$22,0)-1)*9+MATCH("D/S",Parsed!$C$2:$C$10,0))=INDEX(Parsed!$H$2:$H$190,(MATCH(A34,Data!$B$2:$B$22,0)-1)*9+MATCH("D/S",Parsed!$C$2:$C$10,0)),INDEX(Parsed!$M$2:$M$190,(MATCH(B34,Data!$B$2:$B$22,0)-1)*9+MATCH("D/S",Parsed!$C$2:$C$10,0))*INDEX(Parsed!$I$2:$I$190,(MATCH(A34,Data!$B$2:$B$22,0)-1)*9+MATCH("D/S",Parsed!$C$2:$C$10,0)),0)+IF(INDEX(Parsed!$K$2:$K$190,(MATCH(B34,Data!$B$2:$B$22,0)-1)*9+MATCH("True/kind",Parsed!$C$2:$C$10,0))=INDEX(Parsed!$H$2:$H$190,(MATCH(A34,Data!$B$2:$B$22,0)-1)*9+MATCH("True/kind",Parsed!$C$2:$C$10,0)),INDEX(Parsed!$M$2:$M$190,(MATCH(B34,Data!$B$2:$B$22,0)-1)*9+MATCH("True/kind",Parsed!$C$2:$C$10,0))*INDEX(Parsed!$I$2:$I$190,(MATCH(A34,Data!$B$2:$B$22,0)-1)*9+MATCH("True/kind",Parsed!$C$2:$C$10,0)),0)+IF(INDEX(Parsed!$K$2:$K$190,(MATCH(B34,Data!$B$2:$B$22,0)-1)*9+MATCH("Animal",Parsed!$C$2:$C$10,0))=INDEX(Parsed!$H$2:$H$190,(MATCH(A34,Data!$B$2:$B$22,0)-1)*9+MATCH("Animal",Parsed!$C$2:$C$10,0)),INDEX(Parsed!$M$2:$M$190,(MATCH(B34,Data!$B$2:$B$22,0)-1)*9+MATCH("Animal",Parsed!$C$2:$C$10,0))*INDEX(Parsed!$I$2:$I$190,(MATCH(A34,Data!$B$2:$B$22,0)-1)*9+MATCH("Animal",Parsed!$C$2:$C$10,0)),0),0)</x:f>
        <x:v>83.75</x:v>
      </x:c>
      <x:c r="D34" s="11" t="n">
        <x:f>IFERROR(IF(INDEX(Parsed!$K$2:$K$190,(MATCH(A34,Data!$B$2:$B$22,0)-1)*9+MATCH("God",Parsed!$C$2:$C$10,0))=INDEX(Parsed!$H$2:$H$190,(MATCH(B34,Data!$B$2:$B$22,0)-1)*9+MATCH("God",Parsed!$C$2:$C$10,0)),INDEX(Parsed!$M$2:$M$190,(MATCH(A34,Data!$B$2:$B$22,0)-1)*9+MATCH("God",Parsed!$C$2:$C$10,0))*INDEX(Parsed!$I$2:$I$190,(MATCH(B34,Data!$B$2:$B$22,0)-1)*9+MATCH("God",Parsed!$C$2:$C$10,0)),0)+IF(INDEX(Parsed!$K$2:$K$190,(MATCH(A34,Data!$B$2:$B$22,0)-1)*9+MATCH("Politics",Parsed!$C$2:$C$10,0))=INDEX(Parsed!$H$2:$H$190,(MATCH(B34,Data!$B$2:$B$22,0)-1)*9+MATCH("Politics",Parsed!$C$2:$C$10,0)),INDEX(Parsed!$M$2:$M$190,(MATCH(A34,Data!$B$2:$B$22,0)-1)*9+MATCH("Politics",Parsed!$C$2:$C$10,0))*INDEX(Parsed!$I$2:$I$190,(MATCH(B34,Data!$B$2:$B$22,0)-1)*9+MATCH("Politics",Parsed!$C$2:$C$10,0)),0)+IF(INDEX(Parsed!$K$2:$K$190,(MATCH(A34,Data!$B$2:$B$22,0)-1)*9+MATCH("Marriage",Parsed!$C$2:$C$10,0))=INDEX(Parsed!$H$2:$H$190,(MATCH(B34,Data!$B$2:$B$22,0)-1)*9+MATCH("Marriage",Parsed!$C$2:$C$10,0)),INDEX(Parsed!$M$2:$M$190,(MATCH(A34,Data!$B$2:$B$22,0)-1)*9+MATCH("Marriage",Parsed!$C$2:$C$10,0))*INDEX(Parsed!$I$2:$I$190,(MATCH(B34,Data!$B$2:$B$22,0)-1)*9+MATCH("Marriage",Parsed!$C$2:$C$10,0)),0)+IF(INDEX(Parsed!$K$2:$K$190,(MATCH(A34,Data!$B$2:$B$22,0)-1)*9+MATCH("Children",Parsed!$C$2:$C$10,0))=INDEX(Parsed!$H$2:$H$190,(MATCH(B34,Data!$B$2:$B$22,0)-1)*9+MATCH("Children",Parsed!$C$2:$C$10,0)),INDEX(Parsed!$M$2:$M$190,(MATCH(A34,Data!$B$2:$B$22,0)-1)*9+MATCH("Children",Parsed!$C$2:$C$10,0))*INDEX(Parsed!$I$2:$I$190,(MATCH(B34,Data!$B$2:$B$22,0)-1)*9+MATCH("Children",Parsed!$C$2:$C$10,0)),0)+IF(INDEX(Parsed!$K$2:$K$190,(MATCH(A34,Data!$B$2:$B$22,0)-1)*9+MATCH("Ethicity",Parsed!$C$2:$C$10,0))=INDEX(Parsed!$H$2:$H$190,(MATCH(B34,Data!$B$2:$B$22,0)-1)*9+MATCH("Ethicity",Parsed!$C$2:$C$10,0)),INDEX(Parsed!$M$2:$M$190,(MATCH(A34,Data!$B$2:$B$22,0)-1)*9+MATCH("Ethicity",Parsed!$C$2:$C$10,0))*INDEX(Parsed!$I$2:$I$190,(MATCH(B34,Data!$B$2:$B$22,0)-1)*9+MATCH("Ethicity",Parsed!$C$2:$C$10,0)),0)+IF(INDEX(Parsed!$K$2:$K$190,(MATCH(A34,Data!$B$2:$B$22,0)-1)*9+MATCH("Past",Parsed!$C$2:$C$10,0))=INDEX(Parsed!$H$2:$H$190,(MATCH(B34,Data!$B$2:$B$22,0)-1)*9+MATCH("Past",Parsed!$C$2:$C$10,0)),INDEX(Parsed!$M$2:$M$190,(MATCH(A34,Data!$B$2:$B$22,0)-1)*9+MATCH("Past",Parsed!$C$2:$C$10,0))*INDEX(Parsed!$I$2:$I$190,(MATCH(B34,Data!$B$2:$B$22,0)-1)*9+MATCH("Past",Parsed!$C$2:$C$10,0)),0)+IF(INDEX(Parsed!$K$2:$K$190,(MATCH(A34,Data!$B$2:$B$22,0)-1)*9+MATCH("D/S",Parsed!$C$2:$C$10,0))=INDEX(Parsed!$H$2:$H$190,(MATCH(B34,Data!$B$2:$B$22,0)-1)*9+MATCH("D/S",Parsed!$C$2:$C$10,0)),INDEX(Parsed!$M$2:$M$190,(MATCH(A34,Data!$B$2:$B$22,0)-1)*9+MATCH("D/S",Parsed!$C$2:$C$10,0))*INDEX(Parsed!$I$2:$I$190,(MATCH(B34,Data!$B$2:$B$22,0)-1)*9+MATCH("D/S",Parsed!$C$2:$C$10,0)),0)+IF(INDEX(Parsed!$K$2:$K$190,(MATCH(A34,Data!$B$2:$B$22,0)-1)*9+MATCH("True/kind",Parsed!$C$2:$C$10,0))=INDEX(Parsed!$H$2:$H$190,(MATCH(B34,Data!$B$2:$B$22,0)-1)*9+MATCH("True/kind",Parsed!$C$2:$C$10,0)),INDEX(Parsed!$M$2:$M$190,(MATCH(A34,Data!$B$2:$B$22,0)-1)*9+MATCH("True/kind",Parsed!$C$2:$C$10,0))*INDEX(Parsed!$I$2:$I$190,(MATCH(B34,Data!$B$2:$B$22,0)-1)*9+MATCH("True/kind",Parsed!$C$2:$C$10,0)),0)+IF(INDEX(Parsed!$K$2:$K$190,(MATCH(A34,Data!$B$2:$B$22,0)-1)*9+MATCH("Animal",Parsed!$C$2:$C$10,0))=INDEX(Parsed!$H$2:$H$190,(MATCH(B34,Data!$B$2:$B$22,0)-1)*9+MATCH("Animal",Parsed!$C$2:$C$10,0)),INDEX(Parsed!$M$2:$M$190,(MATCH(A34,Data!$B$2:$B$22,0)-1)*9+MATCH("Animal",Parsed!$C$2:$C$10,0))*INDEX(Parsed!$I$2:$I$190,(MATCH(B34,Data!$B$2:$B$22,0)-1)*9+MATCH("Animal",Parsed!$C$2:$C$10,0)),0),0)</x:f>
        <x:v>65</x:v>
      </x:c>
      <x:c r="E34" s="11" t="n">
        <x:f>SQRT(C34*D34)</x:f>
        <x:v>73.78177281686852</x:v>
      </x:c>
    </x:row>
    <x:row r="35">
      <x:c r="A35" t="str">
        <x:v>arthur</x:v>
      </x:c>
      <x:c r="B35" t="str">
        <x:v>issabel</x:v>
      </x:c>
      <x:c r="C35" s="11" t="n">
        <x:f>IFERROR(IF(INDEX(Parsed!$K$2:$K$190,(MATCH(B35,Data!$B$2:$B$22,0)-1)*9+MATCH("God",Parsed!$C$2:$C$10,0))=INDEX(Parsed!$H$2:$H$190,(MATCH(A35,Data!$B$2:$B$22,0)-1)*9+MATCH("God",Parsed!$C$2:$C$10,0)),INDEX(Parsed!$M$2:$M$190,(MATCH(B35,Data!$B$2:$B$22,0)-1)*9+MATCH("God",Parsed!$C$2:$C$10,0))*INDEX(Parsed!$I$2:$I$190,(MATCH(A35,Data!$B$2:$B$22,0)-1)*9+MATCH("God",Parsed!$C$2:$C$10,0)),0)+IF(INDEX(Parsed!$K$2:$K$190,(MATCH(B35,Data!$B$2:$B$22,0)-1)*9+MATCH("Politics",Parsed!$C$2:$C$10,0))=INDEX(Parsed!$H$2:$H$190,(MATCH(A35,Data!$B$2:$B$22,0)-1)*9+MATCH("Politics",Parsed!$C$2:$C$10,0)),INDEX(Parsed!$M$2:$M$190,(MATCH(B35,Data!$B$2:$B$22,0)-1)*9+MATCH("Politics",Parsed!$C$2:$C$10,0))*INDEX(Parsed!$I$2:$I$190,(MATCH(A35,Data!$B$2:$B$22,0)-1)*9+MATCH("Politics",Parsed!$C$2:$C$10,0)),0)+IF(INDEX(Parsed!$K$2:$K$190,(MATCH(B35,Data!$B$2:$B$22,0)-1)*9+MATCH("Marriage",Parsed!$C$2:$C$10,0))=INDEX(Parsed!$H$2:$H$190,(MATCH(A35,Data!$B$2:$B$22,0)-1)*9+MATCH("Marriage",Parsed!$C$2:$C$10,0)),INDEX(Parsed!$M$2:$M$190,(MATCH(B35,Data!$B$2:$B$22,0)-1)*9+MATCH("Marriage",Parsed!$C$2:$C$10,0))*INDEX(Parsed!$I$2:$I$190,(MATCH(A35,Data!$B$2:$B$22,0)-1)*9+MATCH("Marriage",Parsed!$C$2:$C$10,0)),0)+IF(INDEX(Parsed!$K$2:$K$190,(MATCH(B35,Data!$B$2:$B$22,0)-1)*9+MATCH("Children",Parsed!$C$2:$C$10,0))=INDEX(Parsed!$H$2:$H$190,(MATCH(A35,Data!$B$2:$B$22,0)-1)*9+MATCH("Children",Parsed!$C$2:$C$10,0)),INDEX(Parsed!$M$2:$M$190,(MATCH(B35,Data!$B$2:$B$22,0)-1)*9+MATCH("Children",Parsed!$C$2:$C$10,0))*INDEX(Parsed!$I$2:$I$190,(MATCH(A35,Data!$B$2:$B$22,0)-1)*9+MATCH("Children",Parsed!$C$2:$C$10,0)),0)+IF(INDEX(Parsed!$K$2:$K$190,(MATCH(B35,Data!$B$2:$B$22,0)-1)*9+MATCH("Ethicity",Parsed!$C$2:$C$10,0))=INDEX(Parsed!$H$2:$H$190,(MATCH(A35,Data!$B$2:$B$22,0)-1)*9+MATCH("Ethicity",Parsed!$C$2:$C$10,0)),INDEX(Parsed!$M$2:$M$190,(MATCH(B35,Data!$B$2:$B$22,0)-1)*9+MATCH("Ethicity",Parsed!$C$2:$C$10,0))*INDEX(Parsed!$I$2:$I$190,(MATCH(A35,Data!$B$2:$B$22,0)-1)*9+MATCH("Ethicity",Parsed!$C$2:$C$10,0)),0)+IF(INDEX(Parsed!$K$2:$K$190,(MATCH(B35,Data!$B$2:$B$22,0)-1)*9+MATCH("Past",Parsed!$C$2:$C$10,0))=INDEX(Parsed!$H$2:$H$190,(MATCH(A35,Data!$B$2:$B$22,0)-1)*9+MATCH("Past",Parsed!$C$2:$C$10,0)),INDEX(Parsed!$M$2:$M$190,(MATCH(B35,Data!$B$2:$B$22,0)-1)*9+MATCH("Past",Parsed!$C$2:$C$10,0))*INDEX(Parsed!$I$2:$I$190,(MATCH(A35,Data!$B$2:$B$22,0)-1)*9+MATCH("Past",Parsed!$C$2:$C$10,0)),0)+IF(INDEX(Parsed!$K$2:$K$190,(MATCH(B35,Data!$B$2:$B$22,0)-1)*9+MATCH("D/S",Parsed!$C$2:$C$10,0))=INDEX(Parsed!$H$2:$H$190,(MATCH(A35,Data!$B$2:$B$22,0)-1)*9+MATCH("D/S",Parsed!$C$2:$C$10,0)),INDEX(Parsed!$M$2:$M$190,(MATCH(B35,Data!$B$2:$B$22,0)-1)*9+MATCH("D/S",Parsed!$C$2:$C$10,0))*INDEX(Parsed!$I$2:$I$190,(MATCH(A35,Data!$B$2:$B$22,0)-1)*9+MATCH("D/S",Parsed!$C$2:$C$10,0)),0)+IF(INDEX(Parsed!$K$2:$K$190,(MATCH(B35,Data!$B$2:$B$22,0)-1)*9+MATCH("True/kind",Parsed!$C$2:$C$10,0))=INDEX(Parsed!$H$2:$H$190,(MATCH(A35,Data!$B$2:$B$22,0)-1)*9+MATCH("True/kind",Parsed!$C$2:$C$10,0)),INDEX(Parsed!$M$2:$M$190,(MATCH(B35,Data!$B$2:$B$22,0)-1)*9+MATCH("True/kind",Parsed!$C$2:$C$10,0))*INDEX(Parsed!$I$2:$I$190,(MATCH(A35,Data!$B$2:$B$22,0)-1)*9+MATCH("True/kind",Parsed!$C$2:$C$10,0)),0)+IF(INDEX(Parsed!$K$2:$K$190,(MATCH(B35,Data!$B$2:$B$22,0)-1)*9+MATCH("Animal",Parsed!$C$2:$C$10,0))=INDEX(Parsed!$H$2:$H$190,(MATCH(A35,Data!$B$2:$B$22,0)-1)*9+MATCH("Animal",Parsed!$C$2:$C$10,0)),INDEX(Parsed!$M$2:$M$190,(MATCH(B35,Data!$B$2:$B$22,0)-1)*9+MATCH("Animal",Parsed!$C$2:$C$10,0))*INDEX(Parsed!$I$2:$I$190,(MATCH(A35,Data!$B$2:$B$22,0)-1)*9+MATCH("Animal",Parsed!$C$2:$C$10,0)),0),0)</x:f>
        <x:v>71.25</x:v>
      </x:c>
      <x:c r="D35" s="11" t="n">
        <x:f>IFERROR(IF(INDEX(Parsed!$K$2:$K$190,(MATCH(A35,Data!$B$2:$B$22,0)-1)*9+MATCH("God",Parsed!$C$2:$C$10,0))=INDEX(Parsed!$H$2:$H$190,(MATCH(B35,Data!$B$2:$B$22,0)-1)*9+MATCH("God",Parsed!$C$2:$C$10,0)),INDEX(Parsed!$M$2:$M$190,(MATCH(A35,Data!$B$2:$B$22,0)-1)*9+MATCH("God",Parsed!$C$2:$C$10,0))*INDEX(Parsed!$I$2:$I$190,(MATCH(B35,Data!$B$2:$B$22,0)-1)*9+MATCH("God",Parsed!$C$2:$C$10,0)),0)+IF(INDEX(Parsed!$K$2:$K$190,(MATCH(A35,Data!$B$2:$B$22,0)-1)*9+MATCH("Politics",Parsed!$C$2:$C$10,0))=INDEX(Parsed!$H$2:$H$190,(MATCH(B35,Data!$B$2:$B$22,0)-1)*9+MATCH("Politics",Parsed!$C$2:$C$10,0)),INDEX(Parsed!$M$2:$M$190,(MATCH(A35,Data!$B$2:$B$22,0)-1)*9+MATCH("Politics",Parsed!$C$2:$C$10,0))*INDEX(Parsed!$I$2:$I$190,(MATCH(B35,Data!$B$2:$B$22,0)-1)*9+MATCH("Politics",Parsed!$C$2:$C$10,0)),0)+IF(INDEX(Parsed!$K$2:$K$190,(MATCH(A35,Data!$B$2:$B$22,0)-1)*9+MATCH("Marriage",Parsed!$C$2:$C$10,0))=INDEX(Parsed!$H$2:$H$190,(MATCH(B35,Data!$B$2:$B$22,0)-1)*9+MATCH("Marriage",Parsed!$C$2:$C$10,0)),INDEX(Parsed!$M$2:$M$190,(MATCH(A35,Data!$B$2:$B$22,0)-1)*9+MATCH("Marriage",Parsed!$C$2:$C$10,0))*INDEX(Parsed!$I$2:$I$190,(MATCH(B35,Data!$B$2:$B$22,0)-1)*9+MATCH("Marriage",Parsed!$C$2:$C$10,0)),0)+IF(INDEX(Parsed!$K$2:$K$190,(MATCH(A35,Data!$B$2:$B$22,0)-1)*9+MATCH("Children",Parsed!$C$2:$C$10,0))=INDEX(Parsed!$H$2:$H$190,(MATCH(B35,Data!$B$2:$B$22,0)-1)*9+MATCH("Children",Parsed!$C$2:$C$10,0)),INDEX(Parsed!$M$2:$M$190,(MATCH(A35,Data!$B$2:$B$22,0)-1)*9+MATCH("Children",Parsed!$C$2:$C$10,0))*INDEX(Parsed!$I$2:$I$190,(MATCH(B35,Data!$B$2:$B$22,0)-1)*9+MATCH("Children",Parsed!$C$2:$C$10,0)),0)+IF(INDEX(Parsed!$K$2:$K$190,(MATCH(A35,Data!$B$2:$B$22,0)-1)*9+MATCH("Ethicity",Parsed!$C$2:$C$10,0))=INDEX(Parsed!$H$2:$H$190,(MATCH(B35,Data!$B$2:$B$22,0)-1)*9+MATCH("Ethicity",Parsed!$C$2:$C$10,0)),INDEX(Parsed!$M$2:$M$190,(MATCH(A35,Data!$B$2:$B$22,0)-1)*9+MATCH("Ethicity",Parsed!$C$2:$C$10,0))*INDEX(Parsed!$I$2:$I$190,(MATCH(B35,Data!$B$2:$B$22,0)-1)*9+MATCH("Ethicity",Parsed!$C$2:$C$10,0)),0)+IF(INDEX(Parsed!$K$2:$K$190,(MATCH(A35,Data!$B$2:$B$22,0)-1)*9+MATCH("Past",Parsed!$C$2:$C$10,0))=INDEX(Parsed!$H$2:$H$190,(MATCH(B35,Data!$B$2:$B$22,0)-1)*9+MATCH("Past",Parsed!$C$2:$C$10,0)),INDEX(Parsed!$M$2:$M$190,(MATCH(A35,Data!$B$2:$B$22,0)-1)*9+MATCH("Past",Parsed!$C$2:$C$10,0))*INDEX(Parsed!$I$2:$I$190,(MATCH(B35,Data!$B$2:$B$22,0)-1)*9+MATCH("Past",Parsed!$C$2:$C$10,0)),0)+IF(INDEX(Parsed!$K$2:$K$190,(MATCH(A35,Data!$B$2:$B$22,0)-1)*9+MATCH("D/S",Parsed!$C$2:$C$10,0))=INDEX(Parsed!$H$2:$H$190,(MATCH(B35,Data!$B$2:$B$22,0)-1)*9+MATCH("D/S",Parsed!$C$2:$C$10,0)),INDEX(Parsed!$M$2:$M$190,(MATCH(A35,Data!$B$2:$B$22,0)-1)*9+MATCH("D/S",Parsed!$C$2:$C$10,0))*INDEX(Parsed!$I$2:$I$190,(MATCH(B35,Data!$B$2:$B$22,0)-1)*9+MATCH("D/S",Parsed!$C$2:$C$10,0)),0)+IF(INDEX(Parsed!$K$2:$K$190,(MATCH(A35,Data!$B$2:$B$22,0)-1)*9+MATCH("True/kind",Parsed!$C$2:$C$10,0))=INDEX(Parsed!$H$2:$H$190,(MATCH(B35,Data!$B$2:$B$22,0)-1)*9+MATCH("True/kind",Parsed!$C$2:$C$10,0)),INDEX(Parsed!$M$2:$M$190,(MATCH(A35,Data!$B$2:$B$22,0)-1)*9+MATCH("True/kind",Parsed!$C$2:$C$10,0))*INDEX(Parsed!$I$2:$I$190,(MATCH(B35,Data!$B$2:$B$22,0)-1)*9+MATCH("True/kind",Parsed!$C$2:$C$10,0)),0)+IF(INDEX(Parsed!$K$2:$K$190,(MATCH(A35,Data!$B$2:$B$22,0)-1)*9+MATCH("Animal",Parsed!$C$2:$C$10,0))=INDEX(Parsed!$H$2:$H$190,(MATCH(B35,Data!$B$2:$B$22,0)-1)*9+MATCH("Animal",Parsed!$C$2:$C$10,0)),INDEX(Parsed!$M$2:$M$190,(MATCH(A35,Data!$B$2:$B$22,0)-1)*9+MATCH("Animal",Parsed!$C$2:$C$10,0))*INDEX(Parsed!$I$2:$I$190,(MATCH(B35,Data!$B$2:$B$22,0)-1)*9+MATCH("Animal",Parsed!$C$2:$C$10,0)),0),0)</x:f>
        <x:v>47.5</x:v>
      </x:c>
      <x:c r="E35" s="11" t="n">
        <x:f>SQRT(C35*D35)</x:f>
        <x:v>58.17538139110048</x:v>
      </x:c>
    </x:row>
    <x:row r="36">
      <x:c r="A36" t="str">
        <x:v>arthur</x:v>
      </x:c>
      <x:c r="B36" t="str">
        <x:v>lydia</x:v>
      </x:c>
      <x:c r="C36" s="11" t="n">
        <x:f>IFERROR(IF(INDEX(Parsed!$K$2:$K$190,(MATCH(B36,Data!$B$2:$B$22,0)-1)*9+MATCH("God",Parsed!$C$2:$C$10,0))=INDEX(Parsed!$H$2:$H$190,(MATCH(A36,Data!$B$2:$B$22,0)-1)*9+MATCH("God",Parsed!$C$2:$C$10,0)),INDEX(Parsed!$M$2:$M$190,(MATCH(B36,Data!$B$2:$B$22,0)-1)*9+MATCH("God",Parsed!$C$2:$C$10,0))*INDEX(Parsed!$I$2:$I$190,(MATCH(A36,Data!$B$2:$B$22,0)-1)*9+MATCH("God",Parsed!$C$2:$C$10,0)),0)+IF(INDEX(Parsed!$K$2:$K$190,(MATCH(B36,Data!$B$2:$B$22,0)-1)*9+MATCH("Politics",Parsed!$C$2:$C$10,0))=INDEX(Parsed!$H$2:$H$190,(MATCH(A36,Data!$B$2:$B$22,0)-1)*9+MATCH("Politics",Parsed!$C$2:$C$10,0)),INDEX(Parsed!$M$2:$M$190,(MATCH(B36,Data!$B$2:$B$22,0)-1)*9+MATCH("Politics",Parsed!$C$2:$C$10,0))*INDEX(Parsed!$I$2:$I$190,(MATCH(A36,Data!$B$2:$B$22,0)-1)*9+MATCH("Politics",Parsed!$C$2:$C$10,0)),0)+IF(INDEX(Parsed!$K$2:$K$190,(MATCH(B36,Data!$B$2:$B$22,0)-1)*9+MATCH("Marriage",Parsed!$C$2:$C$10,0))=INDEX(Parsed!$H$2:$H$190,(MATCH(A36,Data!$B$2:$B$22,0)-1)*9+MATCH("Marriage",Parsed!$C$2:$C$10,0)),INDEX(Parsed!$M$2:$M$190,(MATCH(B36,Data!$B$2:$B$22,0)-1)*9+MATCH("Marriage",Parsed!$C$2:$C$10,0))*INDEX(Parsed!$I$2:$I$190,(MATCH(A36,Data!$B$2:$B$22,0)-1)*9+MATCH("Marriage",Parsed!$C$2:$C$10,0)),0)+IF(INDEX(Parsed!$K$2:$K$190,(MATCH(B36,Data!$B$2:$B$22,0)-1)*9+MATCH("Children",Parsed!$C$2:$C$10,0))=INDEX(Parsed!$H$2:$H$190,(MATCH(A36,Data!$B$2:$B$22,0)-1)*9+MATCH("Children",Parsed!$C$2:$C$10,0)),INDEX(Parsed!$M$2:$M$190,(MATCH(B36,Data!$B$2:$B$22,0)-1)*9+MATCH("Children",Parsed!$C$2:$C$10,0))*INDEX(Parsed!$I$2:$I$190,(MATCH(A36,Data!$B$2:$B$22,0)-1)*9+MATCH("Children",Parsed!$C$2:$C$10,0)),0)+IF(INDEX(Parsed!$K$2:$K$190,(MATCH(B36,Data!$B$2:$B$22,0)-1)*9+MATCH("Ethicity",Parsed!$C$2:$C$10,0))=INDEX(Parsed!$H$2:$H$190,(MATCH(A36,Data!$B$2:$B$22,0)-1)*9+MATCH("Ethicity",Parsed!$C$2:$C$10,0)),INDEX(Parsed!$M$2:$M$190,(MATCH(B36,Data!$B$2:$B$22,0)-1)*9+MATCH("Ethicity",Parsed!$C$2:$C$10,0))*INDEX(Parsed!$I$2:$I$190,(MATCH(A36,Data!$B$2:$B$22,0)-1)*9+MATCH("Ethicity",Parsed!$C$2:$C$10,0)),0)+IF(INDEX(Parsed!$K$2:$K$190,(MATCH(B36,Data!$B$2:$B$22,0)-1)*9+MATCH("Past",Parsed!$C$2:$C$10,0))=INDEX(Parsed!$H$2:$H$190,(MATCH(A36,Data!$B$2:$B$22,0)-1)*9+MATCH("Past",Parsed!$C$2:$C$10,0)),INDEX(Parsed!$M$2:$M$190,(MATCH(B36,Data!$B$2:$B$22,0)-1)*9+MATCH("Past",Parsed!$C$2:$C$10,0))*INDEX(Parsed!$I$2:$I$190,(MATCH(A36,Data!$B$2:$B$22,0)-1)*9+MATCH("Past",Parsed!$C$2:$C$10,0)),0)+IF(INDEX(Parsed!$K$2:$K$190,(MATCH(B36,Data!$B$2:$B$22,0)-1)*9+MATCH("D/S",Parsed!$C$2:$C$10,0))=INDEX(Parsed!$H$2:$H$190,(MATCH(A36,Data!$B$2:$B$22,0)-1)*9+MATCH("D/S",Parsed!$C$2:$C$10,0)),INDEX(Parsed!$M$2:$M$190,(MATCH(B36,Data!$B$2:$B$22,0)-1)*9+MATCH("D/S",Parsed!$C$2:$C$10,0))*INDEX(Parsed!$I$2:$I$190,(MATCH(A36,Data!$B$2:$B$22,0)-1)*9+MATCH("D/S",Parsed!$C$2:$C$10,0)),0)+IF(INDEX(Parsed!$K$2:$K$190,(MATCH(B36,Data!$B$2:$B$22,0)-1)*9+MATCH("True/kind",Parsed!$C$2:$C$10,0))=INDEX(Parsed!$H$2:$H$190,(MATCH(A36,Data!$B$2:$B$22,0)-1)*9+MATCH("True/kind",Parsed!$C$2:$C$10,0)),INDEX(Parsed!$M$2:$M$190,(MATCH(B36,Data!$B$2:$B$22,0)-1)*9+MATCH("True/kind",Parsed!$C$2:$C$10,0))*INDEX(Parsed!$I$2:$I$190,(MATCH(A36,Data!$B$2:$B$22,0)-1)*9+MATCH("True/kind",Parsed!$C$2:$C$10,0)),0)+IF(INDEX(Parsed!$K$2:$K$190,(MATCH(B36,Data!$B$2:$B$22,0)-1)*9+MATCH("Animal",Parsed!$C$2:$C$10,0))=INDEX(Parsed!$H$2:$H$190,(MATCH(A36,Data!$B$2:$B$22,0)-1)*9+MATCH("Animal",Parsed!$C$2:$C$10,0)),INDEX(Parsed!$M$2:$M$190,(MATCH(B36,Data!$B$2:$B$22,0)-1)*9+MATCH("Animal",Parsed!$C$2:$C$10,0))*INDEX(Parsed!$I$2:$I$190,(MATCH(A36,Data!$B$2:$B$22,0)-1)*9+MATCH("Animal",Parsed!$C$2:$C$10,0)),0),0)</x:f>
        <x:v>47.5</x:v>
      </x:c>
      <x:c r="D36" s="11" t="n">
        <x:f>IFERROR(IF(INDEX(Parsed!$K$2:$K$190,(MATCH(A36,Data!$B$2:$B$22,0)-1)*9+MATCH("God",Parsed!$C$2:$C$10,0))=INDEX(Parsed!$H$2:$H$190,(MATCH(B36,Data!$B$2:$B$22,0)-1)*9+MATCH("God",Parsed!$C$2:$C$10,0)),INDEX(Parsed!$M$2:$M$190,(MATCH(A36,Data!$B$2:$B$22,0)-1)*9+MATCH("God",Parsed!$C$2:$C$10,0))*INDEX(Parsed!$I$2:$I$190,(MATCH(B36,Data!$B$2:$B$22,0)-1)*9+MATCH("God",Parsed!$C$2:$C$10,0)),0)+IF(INDEX(Parsed!$K$2:$K$190,(MATCH(A36,Data!$B$2:$B$22,0)-1)*9+MATCH("Politics",Parsed!$C$2:$C$10,0))=INDEX(Parsed!$H$2:$H$190,(MATCH(B36,Data!$B$2:$B$22,0)-1)*9+MATCH("Politics",Parsed!$C$2:$C$10,0)),INDEX(Parsed!$M$2:$M$190,(MATCH(A36,Data!$B$2:$B$22,0)-1)*9+MATCH("Politics",Parsed!$C$2:$C$10,0))*INDEX(Parsed!$I$2:$I$190,(MATCH(B36,Data!$B$2:$B$22,0)-1)*9+MATCH("Politics",Parsed!$C$2:$C$10,0)),0)+IF(INDEX(Parsed!$K$2:$K$190,(MATCH(A36,Data!$B$2:$B$22,0)-1)*9+MATCH("Marriage",Parsed!$C$2:$C$10,0))=INDEX(Parsed!$H$2:$H$190,(MATCH(B36,Data!$B$2:$B$22,0)-1)*9+MATCH("Marriage",Parsed!$C$2:$C$10,0)),INDEX(Parsed!$M$2:$M$190,(MATCH(A36,Data!$B$2:$B$22,0)-1)*9+MATCH("Marriage",Parsed!$C$2:$C$10,0))*INDEX(Parsed!$I$2:$I$190,(MATCH(B36,Data!$B$2:$B$22,0)-1)*9+MATCH("Marriage",Parsed!$C$2:$C$10,0)),0)+IF(INDEX(Parsed!$K$2:$K$190,(MATCH(A36,Data!$B$2:$B$22,0)-1)*9+MATCH("Children",Parsed!$C$2:$C$10,0))=INDEX(Parsed!$H$2:$H$190,(MATCH(B36,Data!$B$2:$B$22,0)-1)*9+MATCH("Children",Parsed!$C$2:$C$10,0)),INDEX(Parsed!$M$2:$M$190,(MATCH(A36,Data!$B$2:$B$22,0)-1)*9+MATCH("Children",Parsed!$C$2:$C$10,0))*INDEX(Parsed!$I$2:$I$190,(MATCH(B36,Data!$B$2:$B$22,0)-1)*9+MATCH("Children",Parsed!$C$2:$C$10,0)),0)+IF(INDEX(Parsed!$K$2:$K$190,(MATCH(A36,Data!$B$2:$B$22,0)-1)*9+MATCH("Ethicity",Parsed!$C$2:$C$10,0))=INDEX(Parsed!$H$2:$H$190,(MATCH(B36,Data!$B$2:$B$22,0)-1)*9+MATCH("Ethicity",Parsed!$C$2:$C$10,0)),INDEX(Parsed!$M$2:$M$190,(MATCH(A36,Data!$B$2:$B$22,0)-1)*9+MATCH("Ethicity",Parsed!$C$2:$C$10,0))*INDEX(Parsed!$I$2:$I$190,(MATCH(B36,Data!$B$2:$B$22,0)-1)*9+MATCH("Ethicity",Parsed!$C$2:$C$10,0)),0)+IF(INDEX(Parsed!$K$2:$K$190,(MATCH(A36,Data!$B$2:$B$22,0)-1)*9+MATCH("Past",Parsed!$C$2:$C$10,0))=INDEX(Parsed!$H$2:$H$190,(MATCH(B36,Data!$B$2:$B$22,0)-1)*9+MATCH("Past",Parsed!$C$2:$C$10,0)),INDEX(Parsed!$M$2:$M$190,(MATCH(A36,Data!$B$2:$B$22,0)-1)*9+MATCH("Past",Parsed!$C$2:$C$10,0))*INDEX(Parsed!$I$2:$I$190,(MATCH(B36,Data!$B$2:$B$22,0)-1)*9+MATCH("Past",Parsed!$C$2:$C$10,0)),0)+IF(INDEX(Parsed!$K$2:$K$190,(MATCH(A36,Data!$B$2:$B$22,0)-1)*9+MATCH("D/S",Parsed!$C$2:$C$10,0))=INDEX(Parsed!$H$2:$H$190,(MATCH(B36,Data!$B$2:$B$22,0)-1)*9+MATCH("D/S",Parsed!$C$2:$C$10,0)),INDEX(Parsed!$M$2:$M$190,(MATCH(A36,Data!$B$2:$B$22,0)-1)*9+MATCH("D/S",Parsed!$C$2:$C$10,0))*INDEX(Parsed!$I$2:$I$190,(MATCH(B36,Data!$B$2:$B$22,0)-1)*9+MATCH("D/S",Parsed!$C$2:$C$10,0)),0)+IF(INDEX(Parsed!$K$2:$K$190,(MATCH(A36,Data!$B$2:$B$22,0)-1)*9+MATCH("True/kind",Parsed!$C$2:$C$10,0))=INDEX(Parsed!$H$2:$H$190,(MATCH(B36,Data!$B$2:$B$22,0)-1)*9+MATCH("True/kind",Parsed!$C$2:$C$10,0)),INDEX(Parsed!$M$2:$M$190,(MATCH(A36,Data!$B$2:$B$22,0)-1)*9+MATCH("True/kind",Parsed!$C$2:$C$10,0))*INDEX(Parsed!$I$2:$I$190,(MATCH(B36,Data!$B$2:$B$22,0)-1)*9+MATCH("True/kind",Parsed!$C$2:$C$10,0)),0)+IF(INDEX(Parsed!$K$2:$K$190,(MATCH(A36,Data!$B$2:$B$22,0)-1)*9+MATCH("Animal",Parsed!$C$2:$C$10,0))=INDEX(Parsed!$H$2:$H$190,(MATCH(B36,Data!$B$2:$B$22,0)-1)*9+MATCH("Animal",Parsed!$C$2:$C$10,0)),INDEX(Parsed!$M$2:$M$190,(MATCH(A36,Data!$B$2:$B$22,0)-1)*9+MATCH("Animal",Parsed!$C$2:$C$10,0))*INDEX(Parsed!$I$2:$I$190,(MATCH(B36,Data!$B$2:$B$22,0)-1)*9+MATCH("Animal",Parsed!$C$2:$C$10,0)),0),0)</x:f>
        <x:v>60</x:v>
      </x:c>
      <x:c r="E36" s="11" t="n">
        <x:f>SQRT(C36*D36)</x:f>
        <x:v>53.38539126015655</x:v>
      </x:c>
    </x:row>
    <x:row r="37">
      <x:c r="A37" t="str">
        <x:v>harry</x:v>
      </x:c>
      <x:c r="B37" t="str">
        <x:v>jasmine</x:v>
      </x:c>
      <x:c r="C37" s="11" t="n">
        <x:f>IFERROR(IF(INDEX(Parsed!$K$2:$K$190,(MATCH(B37,Data!$B$2:$B$22,0)-1)*9+MATCH("God",Parsed!$C$2:$C$10,0))=INDEX(Parsed!$H$2:$H$190,(MATCH(A37,Data!$B$2:$B$22,0)-1)*9+MATCH("God",Parsed!$C$2:$C$10,0)),INDEX(Parsed!$M$2:$M$190,(MATCH(B37,Data!$B$2:$B$22,0)-1)*9+MATCH("God",Parsed!$C$2:$C$10,0))*INDEX(Parsed!$I$2:$I$190,(MATCH(A37,Data!$B$2:$B$22,0)-1)*9+MATCH("God",Parsed!$C$2:$C$10,0)),0)+IF(INDEX(Parsed!$K$2:$K$190,(MATCH(B37,Data!$B$2:$B$22,0)-1)*9+MATCH("Politics",Parsed!$C$2:$C$10,0))=INDEX(Parsed!$H$2:$H$190,(MATCH(A37,Data!$B$2:$B$22,0)-1)*9+MATCH("Politics",Parsed!$C$2:$C$10,0)),INDEX(Parsed!$M$2:$M$190,(MATCH(B37,Data!$B$2:$B$22,0)-1)*9+MATCH("Politics",Parsed!$C$2:$C$10,0))*INDEX(Parsed!$I$2:$I$190,(MATCH(A37,Data!$B$2:$B$22,0)-1)*9+MATCH("Politics",Parsed!$C$2:$C$10,0)),0)+IF(INDEX(Parsed!$K$2:$K$190,(MATCH(B37,Data!$B$2:$B$22,0)-1)*9+MATCH("Marriage",Parsed!$C$2:$C$10,0))=INDEX(Parsed!$H$2:$H$190,(MATCH(A37,Data!$B$2:$B$22,0)-1)*9+MATCH("Marriage",Parsed!$C$2:$C$10,0)),INDEX(Parsed!$M$2:$M$190,(MATCH(B37,Data!$B$2:$B$22,0)-1)*9+MATCH("Marriage",Parsed!$C$2:$C$10,0))*INDEX(Parsed!$I$2:$I$190,(MATCH(A37,Data!$B$2:$B$22,0)-1)*9+MATCH("Marriage",Parsed!$C$2:$C$10,0)),0)+IF(INDEX(Parsed!$K$2:$K$190,(MATCH(B37,Data!$B$2:$B$22,0)-1)*9+MATCH("Children",Parsed!$C$2:$C$10,0))=INDEX(Parsed!$H$2:$H$190,(MATCH(A37,Data!$B$2:$B$22,0)-1)*9+MATCH("Children",Parsed!$C$2:$C$10,0)),INDEX(Parsed!$M$2:$M$190,(MATCH(B37,Data!$B$2:$B$22,0)-1)*9+MATCH("Children",Parsed!$C$2:$C$10,0))*INDEX(Parsed!$I$2:$I$190,(MATCH(A37,Data!$B$2:$B$22,0)-1)*9+MATCH("Children",Parsed!$C$2:$C$10,0)),0)+IF(INDEX(Parsed!$K$2:$K$190,(MATCH(B37,Data!$B$2:$B$22,0)-1)*9+MATCH("Ethicity",Parsed!$C$2:$C$10,0))=INDEX(Parsed!$H$2:$H$190,(MATCH(A37,Data!$B$2:$B$22,0)-1)*9+MATCH("Ethicity",Parsed!$C$2:$C$10,0)),INDEX(Parsed!$M$2:$M$190,(MATCH(B37,Data!$B$2:$B$22,0)-1)*9+MATCH("Ethicity",Parsed!$C$2:$C$10,0))*INDEX(Parsed!$I$2:$I$190,(MATCH(A37,Data!$B$2:$B$22,0)-1)*9+MATCH("Ethicity",Parsed!$C$2:$C$10,0)),0)+IF(INDEX(Parsed!$K$2:$K$190,(MATCH(B37,Data!$B$2:$B$22,0)-1)*9+MATCH("Past",Parsed!$C$2:$C$10,0))=INDEX(Parsed!$H$2:$H$190,(MATCH(A37,Data!$B$2:$B$22,0)-1)*9+MATCH("Past",Parsed!$C$2:$C$10,0)),INDEX(Parsed!$M$2:$M$190,(MATCH(B37,Data!$B$2:$B$22,0)-1)*9+MATCH("Past",Parsed!$C$2:$C$10,0))*INDEX(Parsed!$I$2:$I$190,(MATCH(A37,Data!$B$2:$B$22,0)-1)*9+MATCH("Past",Parsed!$C$2:$C$10,0)),0)+IF(INDEX(Parsed!$K$2:$K$190,(MATCH(B37,Data!$B$2:$B$22,0)-1)*9+MATCH("D/S",Parsed!$C$2:$C$10,0))=INDEX(Parsed!$H$2:$H$190,(MATCH(A37,Data!$B$2:$B$22,0)-1)*9+MATCH("D/S",Parsed!$C$2:$C$10,0)),INDEX(Parsed!$M$2:$M$190,(MATCH(B37,Data!$B$2:$B$22,0)-1)*9+MATCH("D/S",Parsed!$C$2:$C$10,0))*INDEX(Parsed!$I$2:$I$190,(MATCH(A37,Data!$B$2:$B$22,0)-1)*9+MATCH("D/S",Parsed!$C$2:$C$10,0)),0)+IF(INDEX(Parsed!$K$2:$K$190,(MATCH(B37,Data!$B$2:$B$22,0)-1)*9+MATCH("True/kind",Parsed!$C$2:$C$10,0))=INDEX(Parsed!$H$2:$H$190,(MATCH(A37,Data!$B$2:$B$22,0)-1)*9+MATCH("True/kind",Parsed!$C$2:$C$10,0)),INDEX(Parsed!$M$2:$M$190,(MATCH(B37,Data!$B$2:$B$22,0)-1)*9+MATCH("True/kind",Parsed!$C$2:$C$10,0))*INDEX(Parsed!$I$2:$I$190,(MATCH(A37,Data!$B$2:$B$22,0)-1)*9+MATCH("True/kind",Parsed!$C$2:$C$10,0)),0)+IF(INDEX(Parsed!$K$2:$K$190,(MATCH(B37,Data!$B$2:$B$22,0)-1)*9+MATCH("Animal",Parsed!$C$2:$C$10,0))=INDEX(Parsed!$H$2:$H$190,(MATCH(A37,Data!$B$2:$B$22,0)-1)*9+MATCH("Animal",Parsed!$C$2:$C$10,0)),INDEX(Parsed!$M$2:$M$190,(MATCH(B37,Data!$B$2:$B$22,0)-1)*9+MATCH("Animal",Parsed!$C$2:$C$10,0))*INDEX(Parsed!$I$2:$I$190,(MATCH(A37,Data!$B$2:$B$22,0)-1)*9+MATCH("Animal",Parsed!$C$2:$C$10,0)),0),0)</x:f>
        <x:v>38.75</x:v>
      </x:c>
      <x:c r="D37" s="11" t="n">
        <x:f>IFERROR(IF(INDEX(Parsed!$K$2:$K$190,(MATCH(A37,Data!$B$2:$B$22,0)-1)*9+MATCH("God",Parsed!$C$2:$C$10,0))=INDEX(Parsed!$H$2:$H$190,(MATCH(B37,Data!$B$2:$B$22,0)-1)*9+MATCH("God",Parsed!$C$2:$C$10,0)),INDEX(Parsed!$M$2:$M$190,(MATCH(A37,Data!$B$2:$B$22,0)-1)*9+MATCH("God",Parsed!$C$2:$C$10,0))*INDEX(Parsed!$I$2:$I$190,(MATCH(B37,Data!$B$2:$B$22,0)-1)*9+MATCH("God",Parsed!$C$2:$C$10,0)),0)+IF(INDEX(Parsed!$K$2:$K$190,(MATCH(A37,Data!$B$2:$B$22,0)-1)*9+MATCH("Politics",Parsed!$C$2:$C$10,0))=INDEX(Parsed!$H$2:$H$190,(MATCH(B37,Data!$B$2:$B$22,0)-1)*9+MATCH("Politics",Parsed!$C$2:$C$10,0)),INDEX(Parsed!$M$2:$M$190,(MATCH(A37,Data!$B$2:$B$22,0)-1)*9+MATCH("Politics",Parsed!$C$2:$C$10,0))*INDEX(Parsed!$I$2:$I$190,(MATCH(B37,Data!$B$2:$B$22,0)-1)*9+MATCH("Politics",Parsed!$C$2:$C$10,0)),0)+IF(INDEX(Parsed!$K$2:$K$190,(MATCH(A37,Data!$B$2:$B$22,0)-1)*9+MATCH("Marriage",Parsed!$C$2:$C$10,0))=INDEX(Parsed!$H$2:$H$190,(MATCH(B37,Data!$B$2:$B$22,0)-1)*9+MATCH("Marriage",Parsed!$C$2:$C$10,0)),INDEX(Parsed!$M$2:$M$190,(MATCH(A37,Data!$B$2:$B$22,0)-1)*9+MATCH("Marriage",Parsed!$C$2:$C$10,0))*INDEX(Parsed!$I$2:$I$190,(MATCH(B37,Data!$B$2:$B$22,0)-1)*9+MATCH("Marriage",Parsed!$C$2:$C$10,0)),0)+IF(INDEX(Parsed!$K$2:$K$190,(MATCH(A37,Data!$B$2:$B$22,0)-1)*9+MATCH("Children",Parsed!$C$2:$C$10,0))=INDEX(Parsed!$H$2:$H$190,(MATCH(B37,Data!$B$2:$B$22,0)-1)*9+MATCH("Children",Parsed!$C$2:$C$10,0)),INDEX(Parsed!$M$2:$M$190,(MATCH(A37,Data!$B$2:$B$22,0)-1)*9+MATCH("Children",Parsed!$C$2:$C$10,0))*INDEX(Parsed!$I$2:$I$190,(MATCH(B37,Data!$B$2:$B$22,0)-1)*9+MATCH("Children",Parsed!$C$2:$C$10,0)),0)+IF(INDEX(Parsed!$K$2:$K$190,(MATCH(A37,Data!$B$2:$B$22,0)-1)*9+MATCH("Ethicity",Parsed!$C$2:$C$10,0))=INDEX(Parsed!$H$2:$H$190,(MATCH(B37,Data!$B$2:$B$22,0)-1)*9+MATCH("Ethicity",Parsed!$C$2:$C$10,0)),INDEX(Parsed!$M$2:$M$190,(MATCH(A37,Data!$B$2:$B$22,0)-1)*9+MATCH("Ethicity",Parsed!$C$2:$C$10,0))*INDEX(Parsed!$I$2:$I$190,(MATCH(B37,Data!$B$2:$B$22,0)-1)*9+MATCH("Ethicity",Parsed!$C$2:$C$10,0)),0)+IF(INDEX(Parsed!$K$2:$K$190,(MATCH(A37,Data!$B$2:$B$22,0)-1)*9+MATCH("Past",Parsed!$C$2:$C$10,0))=INDEX(Parsed!$H$2:$H$190,(MATCH(B37,Data!$B$2:$B$22,0)-1)*9+MATCH("Past",Parsed!$C$2:$C$10,0)),INDEX(Parsed!$M$2:$M$190,(MATCH(A37,Data!$B$2:$B$22,0)-1)*9+MATCH("Past",Parsed!$C$2:$C$10,0))*INDEX(Parsed!$I$2:$I$190,(MATCH(B37,Data!$B$2:$B$22,0)-1)*9+MATCH("Past",Parsed!$C$2:$C$10,0)),0)+IF(INDEX(Parsed!$K$2:$K$190,(MATCH(A37,Data!$B$2:$B$22,0)-1)*9+MATCH("D/S",Parsed!$C$2:$C$10,0))=INDEX(Parsed!$H$2:$H$190,(MATCH(B37,Data!$B$2:$B$22,0)-1)*9+MATCH("D/S",Parsed!$C$2:$C$10,0)),INDEX(Parsed!$M$2:$M$190,(MATCH(A37,Data!$B$2:$B$22,0)-1)*9+MATCH("D/S",Parsed!$C$2:$C$10,0))*INDEX(Parsed!$I$2:$I$190,(MATCH(B37,Data!$B$2:$B$22,0)-1)*9+MATCH("D/S",Parsed!$C$2:$C$10,0)),0)+IF(INDEX(Parsed!$K$2:$K$190,(MATCH(A37,Data!$B$2:$B$22,0)-1)*9+MATCH("True/kind",Parsed!$C$2:$C$10,0))=INDEX(Parsed!$H$2:$H$190,(MATCH(B37,Data!$B$2:$B$22,0)-1)*9+MATCH("True/kind",Parsed!$C$2:$C$10,0)),INDEX(Parsed!$M$2:$M$190,(MATCH(A37,Data!$B$2:$B$22,0)-1)*9+MATCH("True/kind",Parsed!$C$2:$C$10,0))*INDEX(Parsed!$I$2:$I$190,(MATCH(B37,Data!$B$2:$B$22,0)-1)*9+MATCH("True/kind",Parsed!$C$2:$C$10,0)),0)+IF(INDEX(Parsed!$K$2:$K$190,(MATCH(A37,Data!$B$2:$B$22,0)-1)*9+MATCH("Animal",Parsed!$C$2:$C$10,0))=INDEX(Parsed!$H$2:$H$190,(MATCH(B37,Data!$B$2:$B$22,0)-1)*9+MATCH("Animal",Parsed!$C$2:$C$10,0)),INDEX(Parsed!$M$2:$M$190,(MATCH(A37,Data!$B$2:$B$22,0)-1)*9+MATCH("Animal",Parsed!$C$2:$C$10,0))*INDEX(Parsed!$I$2:$I$190,(MATCH(B37,Data!$B$2:$B$22,0)-1)*9+MATCH("Animal",Parsed!$C$2:$C$10,0)),0),0)</x:f>
        <x:v>55</x:v>
      </x:c>
      <x:c r="E37" s="11" t="n">
        <x:f>SQRT(C37*D37)</x:f>
        <x:v>46.16546328154847</x:v>
      </x:c>
    </x:row>
    <x:row r="38">
      <x:c r="A38" t="str">
        <x:v>harry</x:v>
      </x:c>
      <x:c r="B38" t="str">
        <x:v>cathleen</x:v>
      </x:c>
      <x:c r="C38" s="11" t="n">
        <x:f>IFERROR(IF(INDEX(Parsed!$K$2:$K$190,(MATCH(B38,Data!$B$2:$B$22,0)-1)*9+MATCH("God",Parsed!$C$2:$C$10,0))=INDEX(Parsed!$H$2:$H$190,(MATCH(A38,Data!$B$2:$B$22,0)-1)*9+MATCH("God",Parsed!$C$2:$C$10,0)),INDEX(Parsed!$M$2:$M$190,(MATCH(B38,Data!$B$2:$B$22,0)-1)*9+MATCH("God",Parsed!$C$2:$C$10,0))*INDEX(Parsed!$I$2:$I$190,(MATCH(A38,Data!$B$2:$B$22,0)-1)*9+MATCH("God",Parsed!$C$2:$C$10,0)),0)+IF(INDEX(Parsed!$K$2:$K$190,(MATCH(B38,Data!$B$2:$B$22,0)-1)*9+MATCH("Politics",Parsed!$C$2:$C$10,0))=INDEX(Parsed!$H$2:$H$190,(MATCH(A38,Data!$B$2:$B$22,0)-1)*9+MATCH("Politics",Parsed!$C$2:$C$10,0)),INDEX(Parsed!$M$2:$M$190,(MATCH(B38,Data!$B$2:$B$22,0)-1)*9+MATCH("Politics",Parsed!$C$2:$C$10,0))*INDEX(Parsed!$I$2:$I$190,(MATCH(A38,Data!$B$2:$B$22,0)-1)*9+MATCH("Politics",Parsed!$C$2:$C$10,0)),0)+IF(INDEX(Parsed!$K$2:$K$190,(MATCH(B38,Data!$B$2:$B$22,0)-1)*9+MATCH("Marriage",Parsed!$C$2:$C$10,0))=INDEX(Parsed!$H$2:$H$190,(MATCH(A38,Data!$B$2:$B$22,0)-1)*9+MATCH("Marriage",Parsed!$C$2:$C$10,0)),INDEX(Parsed!$M$2:$M$190,(MATCH(B38,Data!$B$2:$B$22,0)-1)*9+MATCH("Marriage",Parsed!$C$2:$C$10,0))*INDEX(Parsed!$I$2:$I$190,(MATCH(A38,Data!$B$2:$B$22,0)-1)*9+MATCH("Marriage",Parsed!$C$2:$C$10,0)),0)+IF(INDEX(Parsed!$K$2:$K$190,(MATCH(B38,Data!$B$2:$B$22,0)-1)*9+MATCH("Children",Parsed!$C$2:$C$10,0))=INDEX(Parsed!$H$2:$H$190,(MATCH(A38,Data!$B$2:$B$22,0)-1)*9+MATCH("Children",Parsed!$C$2:$C$10,0)),INDEX(Parsed!$M$2:$M$190,(MATCH(B38,Data!$B$2:$B$22,0)-1)*9+MATCH("Children",Parsed!$C$2:$C$10,0))*INDEX(Parsed!$I$2:$I$190,(MATCH(A38,Data!$B$2:$B$22,0)-1)*9+MATCH("Children",Parsed!$C$2:$C$10,0)),0)+IF(INDEX(Parsed!$K$2:$K$190,(MATCH(B38,Data!$B$2:$B$22,0)-1)*9+MATCH("Ethicity",Parsed!$C$2:$C$10,0))=INDEX(Parsed!$H$2:$H$190,(MATCH(A38,Data!$B$2:$B$22,0)-1)*9+MATCH("Ethicity",Parsed!$C$2:$C$10,0)),INDEX(Parsed!$M$2:$M$190,(MATCH(B38,Data!$B$2:$B$22,0)-1)*9+MATCH("Ethicity",Parsed!$C$2:$C$10,0))*INDEX(Parsed!$I$2:$I$190,(MATCH(A38,Data!$B$2:$B$22,0)-1)*9+MATCH("Ethicity",Parsed!$C$2:$C$10,0)),0)+IF(INDEX(Parsed!$K$2:$K$190,(MATCH(B38,Data!$B$2:$B$22,0)-1)*9+MATCH("Past",Parsed!$C$2:$C$10,0))=INDEX(Parsed!$H$2:$H$190,(MATCH(A38,Data!$B$2:$B$22,0)-1)*9+MATCH("Past",Parsed!$C$2:$C$10,0)),INDEX(Parsed!$M$2:$M$190,(MATCH(B38,Data!$B$2:$B$22,0)-1)*9+MATCH("Past",Parsed!$C$2:$C$10,0))*INDEX(Parsed!$I$2:$I$190,(MATCH(A38,Data!$B$2:$B$22,0)-1)*9+MATCH("Past",Parsed!$C$2:$C$10,0)),0)+IF(INDEX(Parsed!$K$2:$K$190,(MATCH(B38,Data!$B$2:$B$22,0)-1)*9+MATCH("D/S",Parsed!$C$2:$C$10,0))=INDEX(Parsed!$H$2:$H$190,(MATCH(A38,Data!$B$2:$B$22,0)-1)*9+MATCH("D/S",Parsed!$C$2:$C$10,0)),INDEX(Parsed!$M$2:$M$190,(MATCH(B38,Data!$B$2:$B$22,0)-1)*9+MATCH("D/S",Parsed!$C$2:$C$10,0))*INDEX(Parsed!$I$2:$I$190,(MATCH(A38,Data!$B$2:$B$22,0)-1)*9+MATCH("D/S",Parsed!$C$2:$C$10,0)),0)+IF(INDEX(Parsed!$K$2:$K$190,(MATCH(B38,Data!$B$2:$B$22,0)-1)*9+MATCH("True/kind",Parsed!$C$2:$C$10,0))=INDEX(Parsed!$H$2:$H$190,(MATCH(A38,Data!$B$2:$B$22,0)-1)*9+MATCH("True/kind",Parsed!$C$2:$C$10,0)),INDEX(Parsed!$M$2:$M$190,(MATCH(B38,Data!$B$2:$B$22,0)-1)*9+MATCH("True/kind",Parsed!$C$2:$C$10,0))*INDEX(Parsed!$I$2:$I$190,(MATCH(A38,Data!$B$2:$B$22,0)-1)*9+MATCH("True/kind",Parsed!$C$2:$C$10,0)),0)+IF(INDEX(Parsed!$K$2:$K$190,(MATCH(B38,Data!$B$2:$B$22,0)-1)*9+MATCH("Animal",Parsed!$C$2:$C$10,0))=INDEX(Parsed!$H$2:$H$190,(MATCH(A38,Data!$B$2:$B$22,0)-1)*9+MATCH("Animal",Parsed!$C$2:$C$10,0)),INDEX(Parsed!$M$2:$M$190,(MATCH(B38,Data!$B$2:$B$22,0)-1)*9+MATCH("Animal",Parsed!$C$2:$C$10,0))*INDEX(Parsed!$I$2:$I$190,(MATCH(A38,Data!$B$2:$B$22,0)-1)*9+MATCH("Animal",Parsed!$C$2:$C$10,0)),0),0)</x:f>
        <x:v>31.25</x:v>
      </x:c>
      <x:c r="D38" s="11" t="n">
        <x:f>IFERROR(IF(INDEX(Parsed!$K$2:$K$190,(MATCH(A38,Data!$B$2:$B$22,0)-1)*9+MATCH("God",Parsed!$C$2:$C$10,0))=INDEX(Parsed!$H$2:$H$190,(MATCH(B38,Data!$B$2:$B$22,0)-1)*9+MATCH("God",Parsed!$C$2:$C$10,0)),INDEX(Parsed!$M$2:$M$190,(MATCH(A38,Data!$B$2:$B$22,0)-1)*9+MATCH("God",Parsed!$C$2:$C$10,0))*INDEX(Parsed!$I$2:$I$190,(MATCH(B38,Data!$B$2:$B$22,0)-1)*9+MATCH("God",Parsed!$C$2:$C$10,0)),0)+IF(INDEX(Parsed!$K$2:$K$190,(MATCH(A38,Data!$B$2:$B$22,0)-1)*9+MATCH("Politics",Parsed!$C$2:$C$10,0))=INDEX(Parsed!$H$2:$H$190,(MATCH(B38,Data!$B$2:$B$22,0)-1)*9+MATCH("Politics",Parsed!$C$2:$C$10,0)),INDEX(Parsed!$M$2:$M$190,(MATCH(A38,Data!$B$2:$B$22,0)-1)*9+MATCH("Politics",Parsed!$C$2:$C$10,0))*INDEX(Parsed!$I$2:$I$190,(MATCH(B38,Data!$B$2:$B$22,0)-1)*9+MATCH("Politics",Parsed!$C$2:$C$10,0)),0)+IF(INDEX(Parsed!$K$2:$K$190,(MATCH(A38,Data!$B$2:$B$22,0)-1)*9+MATCH("Marriage",Parsed!$C$2:$C$10,0))=INDEX(Parsed!$H$2:$H$190,(MATCH(B38,Data!$B$2:$B$22,0)-1)*9+MATCH("Marriage",Parsed!$C$2:$C$10,0)),INDEX(Parsed!$M$2:$M$190,(MATCH(A38,Data!$B$2:$B$22,0)-1)*9+MATCH("Marriage",Parsed!$C$2:$C$10,0))*INDEX(Parsed!$I$2:$I$190,(MATCH(B38,Data!$B$2:$B$22,0)-1)*9+MATCH("Marriage",Parsed!$C$2:$C$10,0)),0)+IF(INDEX(Parsed!$K$2:$K$190,(MATCH(A38,Data!$B$2:$B$22,0)-1)*9+MATCH("Children",Parsed!$C$2:$C$10,0))=INDEX(Parsed!$H$2:$H$190,(MATCH(B38,Data!$B$2:$B$22,0)-1)*9+MATCH("Children",Parsed!$C$2:$C$10,0)),INDEX(Parsed!$M$2:$M$190,(MATCH(A38,Data!$B$2:$B$22,0)-1)*9+MATCH("Children",Parsed!$C$2:$C$10,0))*INDEX(Parsed!$I$2:$I$190,(MATCH(B38,Data!$B$2:$B$22,0)-1)*9+MATCH("Children",Parsed!$C$2:$C$10,0)),0)+IF(INDEX(Parsed!$K$2:$K$190,(MATCH(A38,Data!$B$2:$B$22,0)-1)*9+MATCH("Ethicity",Parsed!$C$2:$C$10,0))=INDEX(Parsed!$H$2:$H$190,(MATCH(B38,Data!$B$2:$B$22,0)-1)*9+MATCH("Ethicity",Parsed!$C$2:$C$10,0)),INDEX(Parsed!$M$2:$M$190,(MATCH(A38,Data!$B$2:$B$22,0)-1)*9+MATCH("Ethicity",Parsed!$C$2:$C$10,0))*INDEX(Parsed!$I$2:$I$190,(MATCH(B38,Data!$B$2:$B$22,0)-1)*9+MATCH("Ethicity",Parsed!$C$2:$C$10,0)),0)+IF(INDEX(Parsed!$K$2:$K$190,(MATCH(A38,Data!$B$2:$B$22,0)-1)*9+MATCH("Past",Parsed!$C$2:$C$10,0))=INDEX(Parsed!$H$2:$H$190,(MATCH(B38,Data!$B$2:$B$22,0)-1)*9+MATCH("Past",Parsed!$C$2:$C$10,0)),INDEX(Parsed!$M$2:$M$190,(MATCH(A38,Data!$B$2:$B$22,0)-1)*9+MATCH("Past",Parsed!$C$2:$C$10,0))*INDEX(Parsed!$I$2:$I$190,(MATCH(B38,Data!$B$2:$B$22,0)-1)*9+MATCH("Past",Parsed!$C$2:$C$10,0)),0)+IF(INDEX(Parsed!$K$2:$K$190,(MATCH(A38,Data!$B$2:$B$22,0)-1)*9+MATCH("D/S",Parsed!$C$2:$C$10,0))=INDEX(Parsed!$H$2:$H$190,(MATCH(B38,Data!$B$2:$B$22,0)-1)*9+MATCH("D/S",Parsed!$C$2:$C$10,0)),INDEX(Parsed!$M$2:$M$190,(MATCH(A38,Data!$B$2:$B$22,0)-1)*9+MATCH("D/S",Parsed!$C$2:$C$10,0))*INDEX(Parsed!$I$2:$I$190,(MATCH(B38,Data!$B$2:$B$22,0)-1)*9+MATCH("D/S",Parsed!$C$2:$C$10,0)),0)+IF(INDEX(Parsed!$K$2:$K$190,(MATCH(A38,Data!$B$2:$B$22,0)-1)*9+MATCH("True/kind",Parsed!$C$2:$C$10,0))=INDEX(Parsed!$H$2:$H$190,(MATCH(B38,Data!$B$2:$B$22,0)-1)*9+MATCH("True/kind",Parsed!$C$2:$C$10,0)),INDEX(Parsed!$M$2:$M$190,(MATCH(A38,Data!$B$2:$B$22,0)-1)*9+MATCH("True/kind",Parsed!$C$2:$C$10,0))*INDEX(Parsed!$I$2:$I$190,(MATCH(B38,Data!$B$2:$B$22,0)-1)*9+MATCH("True/kind",Parsed!$C$2:$C$10,0)),0)+IF(INDEX(Parsed!$K$2:$K$190,(MATCH(A38,Data!$B$2:$B$22,0)-1)*9+MATCH("Animal",Parsed!$C$2:$C$10,0))=INDEX(Parsed!$H$2:$H$190,(MATCH(B38,Data!$B$2:$B$22,0)-1)*9+MATCH("Animal",Parsed!$C$2:$C$10,0)),INDEX(Parsed!$M$2:$M$190,(MATCH(A38,Data!$B$2:$B$22,0)-1)*9+MATCH("Animal",Parsed!$C$2:$C$10,0))*INDEX(Parsed!$I$2:$I$190,(MATCH(B38,Data!$B$2:$B$22,0)-1)*9+MATCH("Animal",Parsed!$C$2:$C$10,0)),0),0)</x:f>
        <x:v>72.5</x:v>
      </x:c>
      <x:c r="E38" s="11" t="n">
        <x:f>SQRT(C38*D38)</x:f>
        <x:v>47.598581911649426</x:v>
      </x:c>
    </x:row>
    <x:row r="39">
      <x:c r="A39" t="str">
        <x:v>harry</x:v>
      </x:c>
      <x:c r="B39" t="str">
        <x:v>edith</x:v>
      </x:c>
      <x:c r="C39" s="11" t="n">
        <x:f>IFERROR(IF(INDEX(Parsed!$K$2:$K$190,(MATCH(B39,Data!$B$2:$B$22,0)-1)*9+MATCH("God",Parsed!$C$2:$C$10,0))=INDEX(Parsed!$H$2:$H$190,(MATCH(A39,Data!$B$2:$B$22,0)-1)*9+MATCH("God",Parsed!$C$2:$C$10,0)),INDEX(Parsed!$M$2:$M$190,(MATCH(B39,Data!$B$2:$B$22,0)-1)*9+MATCH("God",Parsed!$C$2:$C$10,0))*INDEX(Parsed!$I$2:$I$190,(MATCH(A39,Data!$B$2:$B$22,0)-1)*9+MATCH("God",Parsed!$C$2:$C$10,0)),0)+IF(INDEX(Parsed!$K$2:$K$190,(MATCH(B39,Data!$B$2:$B$22,0)-1)*9+MATCH("Politics",Parsed!$C$2:$C$10,0))=INDEX(Parsed!$H$2:$H$190,(MATCH(A39,Data!$B$2:$B$22,0)-1)*9+MATCH("Politics",Parsed!$C$2:$C$10,0)),INDEX(Parsed!$M$2:$M$190,(MATCH(B39,Data!$B$2:$B$22,0)-1)*9+MATCH("Politics",Parsed!$C$2:$C$10,0))*INDEX(Parsed!$I$2:$I$190,(MATCH(A39,Data!$B$2:$B$22,0)-1)*9+MATCH("Politics",Parsed!$C$2:$C$10,0)),0)+IF(INDEX(Parsed!$K$2:$K$190,(MATCH(B39,Data!$B$2:$B$22,0)-1)*9+MATCH("Marriage",Parsed!$C$2:$C$10,0))=INDEX(Parsed!$H$2:$H$190,(MATCH(A39,Data!$B$2:$B$22,0)-1)*9+MATCH("Marriage",Parsed!$C$2:$C$10,0)),INDEX(Parsed!$M$2:$M$190,(MATCH(B39,Data!$B$2:$B$22,0)-1)*9+MATCH("Marriage",Parsed!$C$2:$C$10,0))*INDEX(Parsed!$I$2:$I$190,(MATCH(A39,Data!$B$2:$B$22,0)-1)*9+MATCH("Marriage",Parsed!$C$2:$C$10,0)),0)+IF(INDEX(Parsed!$K$2:$K$190,(MATCH(B39,Data!$B$2:$B$22,0)-1)*9+MATCH("Children",Parsed!$C$2:$C$10,0))=INDEX(Parsed!$H$2:$H$190,(MATCH(A39,Data!$B$2:$B$22,0)-1)*9+MATCH("Children",Parsed!$C$2:$C$10,0)),INDEX(Parsed!$M$2:$M$190,(MATCH(B39,Data!$B$2:$B$22,0)-1)*9+MATCH("Children",Parsed!$C$2:$C$10,0))*INDEX(Parsed!$I$2:$I$190,(MATCH(A39,Data!$B$2:$B$22,0)-1)*9+MATCH("Children",Parsed!$C$2:$C$10,0)),0)+IF(INDEX(Parsed!$K$2:$K$190,(MATCH(B39,Data!$B$2:$B$22,0)-1)*9+MATCH("Ethicity",Parsed!$C$2:$C$10,0))=INDEX(Parsed!$H$2:$H$190,(MATCH(A39,Data!$B$2:$B$22,0)-1)*9+MATCH("Ethicity",Parsed!$C$2:$C$10,0)),INDEX(Parsed!$M$2:$M$190,(MATCH(B39,Data!$B$2:$B$22,0)-1)*9+MATCH("Ethicity",Parsed!$C$2:$C$10,0))*INDEX(Parsed!$I$2:$I$190,(MATCH(A39,Data!$B$2:$B$22,0)-1)*9+MATCH("Ethicity",Parsed!$C$2:$C$10,0)),0)+IF(INDEX(Parsed!$K$2:$K$190,(MATCH(B39,Data!$B$2:$B$22,0)-1)*9+MATCH("Past",Parsed!$C$2:$C$10,0))=INDEX(Parsed!$H$2:$H$190,(MATCH(A39,Data!$B$2:$B$22,0)-1)*9+MATCH("Past",Parsed!$C$2:$C$10,0)),INDEX(Parsed!$M$2:$M$190,(MATCH(B39,Data!$B$2:$B$22,0)-1)*9+MATCH("Past",Parsed!$C$2:$C$10,0))*INDEX(Parsed!$I$2:$I$190,(MATCH(A39,Data!$B$2:$B$22,0)-1)*9+MATCH("Past",Parsed!$C$2:$C$10,0)),0)+IF(INDEX(Parsed!$K$2:$K$190,(MATCH(B39,Data!$B$2:$B$22,0)-1)*9+MATCH("D/S",Parsed!$C$2:$C$10,0))=INDEX(Parsed!$H$2:$H$190,(MATCH(A39,Data!$B$2:$B$22,0)-1)*9+MATCH("D/S",Parsed!$C$2:$C$10,0)),INDEX(Parsed!$M$2:$M$190,(MATCH(B39,Data!$B$2:$B$22,0)-1)*9+MATCH("D/S",Parsed!$C$2:$C$10,0))*INDEX(Parsed!$I$2:$I$190,(MATCH(A39,Data!$B$2:$B$22,0)-1)*9+MATCH("D/S",Parsed!$C$2:$C$10,0)),0)+IF(INDEX(Parsed!$K$2:$K$190,(MATCH(B39,Data!$B$2:$B$22,0)-1)*9+MATCH("True/kind",Parsed!$C$2:$C$10,0))=INDEX(Parsed!$H$2:$H$190,(MATCH(A39,Data!$B$2:$B$22,0)-1)*9+MATCH("True/kind",Parsed!$C$2:$C$10,0)),INDEX(Parsed!$M$2:$M$190,(MATCH(B39,Data!$B$2:$B$22,0)-1)*9+MATCH("True/kind",Parsed!$C$2:$C$10,0))*INDEX(Parsed!$I$2:$I$190,(MATCH(A39,Data!$B$2:$B$22,0)-1)*9+MATCH("True/kind",Parsed!$C$2:$C$10,0)),0)+IF(INDEX(Parsed!$K$2:$K$190,(MATCH(B39,Data!$B$2:$B$22,0)-1)*9+MATCH("Animal",Parsed!$C$2:$C$10,0))=INDEX(Parsed!$H$2:$H$190,(MATCH(A39,Data!$B$2:$B$22,0)-1)*9+MATCH("Animal",Parsed!$C$2:$C$10,0)),INDEX(Parsed!$M$2:$M$190,(MATCH(B39,Data!$B$2:$B$22,0)-1)*9+MATCH("Animal",Parsed!$C$2:$C$10,0))*INDEX(Parsed!$I$2:$I$190,(MATCH(A39,Data!$B$2:$B$22,0)-1)*9+MATCH("Animal",Parsed!$C$2:$C$10,0)),0),0)</x:f>
        <x:v>65</x:v>
      </x:c>
      <x:c r="D39" s="11" t="n">
        <x:f>IFERROR(IF(INDEX(Parsed!$K$2:$K$190,(MATCH(A39,Data!$B$2:$B$22,0)-1)*9+MATCH("God",Parsed!$C$2:$C$10,0))=INDEX(Parsed!$H$2:$H$190,(MATCH(B39,Data!$B$2:$B$22,0)-1)*9+MATCH("God",Parsed!$C$2:$C$10,0)),INDEX(Parsed!$M$2:$M$190,(MATCH(A39,Data!$B$2:$B$22,0)-1)*9+MATCH("God",Parsed!$C$2:$C$10,0))*INDEX(Parsed!$I$2:$I$190,(MATCH(B39,Data!$B$2:$B$22,0)-1)*9+MATCH("God",Parsed!$C$2:$C$10,0)),0)+IF(INDEX(Parsed!$K$2:$K$190,(MATCH(A39,Data!$B$2:$B$22,0)-1)*9+MATCH("Politics",Parsed!$C$2:$C$10,0))=INDEX(Parsed!$H$2:$H$190,(MATCH(B39,Data!$B$2:$B$22,0)-1)*9+MATCH("Politics",Parsed!$C$2:$C$10,0)),INDEX(Parsed!$M$2:$M$190,(MATCH(A39,Data!$B$2:$B$22,0)-1)*9+MATCH("Politics",Parsed!$C$2:$C$10,0))*INDEX(Parsed!$I$2:$I$190,(MATCH(B39,Data!$B$2:$B$22,0)-1)*9+MATCH("Politics",Parsed!$C$2:$C$10,0)),0)+IF(INDEX(Parsed!$K$2:$K$190,(MATCH(A39,Data!$B$2:$B$22,0)-1)*9+MATCH("Marriage",Parsed!$C$2:$C$10,0))=INDEX(Parsed!$H$2:$H$190,(MATCH(B39,Data!$B$2:$B$22,0)-1)*9+MATCH("Marriage",Parsed!$C$2:$C$10,0)),INDEX(Parsed!$M$2:$M$190,(MATCH(A39,Data!$B$2:$B$22,0)-1)*9+MATCH("Marriage",Parsed!$C$2:$C$10,0))*INDEX(Parsed!$I$2:$I$190,(MATCH(B39,Data!$B$2:$B$22,0)-1)*9+MATCH("Marriage",Parsed!$C$2:$C$10,0)),0)+IF(INDEX(Parsed!$K$2:$K$190,(MATCH(A39,Data!$B$2:$B$22,0)-1)*9+MATCH("Children",Parsed!$C$2:$C$10,0))=INDEX(Parsed!$H$2:$H$190,(MATCH(B39,Data!$B$2:$B$22,0)-1)*9+MATCH("Children",Parsed!$C$2:$C$10,0)),INDEX(Parsed!$M$2:$M$190,(MATCH(A39,Data!$B$2:$B$22,0)-1)*9+MATCH("Children",Parsed!$C$2:$C$10,0))*INDEX(Parsed!$I$2:$I$190,(MATCH(B39,Data!$B$2:$B$22,0)-1)*9+MATCH("Children",Parsed!$C$2:$C$10,0)),0)+IF(INDEX(Parsed!$K$2:$K$190,(MATCH(A39,Data!$B$2:$B$22,0)-1)*9+MATCH("Ethicity",Parsed!$C$2:$C$10,0))=INDEX(Parsed!$H$2:$H$190,(MATCH(B39,Data!$B$2:$B$22,0)-1)*9+MATCH("Ethicity",Parsed!$C$2:$C$10,0)),INDEX(Parsed!$M$2:$M$190,(MATCH(A39,Data!$B$2:$B$22,0)-1)*9+MATCH("Ethicity",Parsed!$C$2:$C$10,0))*INDEX(Parsed!$I$2:$I$190,(MATCH(B39,Data!$B$2:$B$22,0)-1)*9+MATCH("Ethicity",Parsed!$C$2:$C$10,0)),0)+IF(INDEX(Parsed!$K$2:$K$190,(MATCH(A39,Data!$B$2:$B$22,0)-1)*9+MATCH("Past",Parsed!$C$2:$C$10,0))=INDEX(Parsed!$H$2:$H$190,(MATCH(B39,Data!$B$2:$B$22,0)-1)*9+MATCH("Past",Parsed!$C$2:$C$10,0)),INDEX(Parsed!$M$2:$M$190,(MATCH(A39,Data!$B$2:$B$22,0)-1)*9+MATCH("Past",Parsed!$C$2:$C$10,0))*INDEX(Parsed!$I$2:$I$190,(MATCH(B39,Data!$B$2:$B$22,0)-1)*9+MATCH("Past",Parsed!$C$2:$C$10,0)),0)+IF(INDEX(Parsed!$K$2:$K$190,(MATCH(A39,Data!$B$2:$B$22,0)-1)*9+MATCH("D/S",Parsed!$C$2:$C$10,0))=INDEX(Parsed!$H$2:$H$190,(MATCH(B39,Data!$B$2:$B$22,0)-1)*9+MATCH("D/S",Parsed!$C$2:$C$10,0)),INDEX(Parsed!$M$2:$M$190,(MATCH(A39,Data!$B$2:$B$22,0)-1)*9+MATCH("D/S",Parsed!$C$2:$C$10,0))*INDEX(Parsed!$I$2:$I$190,(MATCH(B39,Data!$B$2:$B$22,0)-1)*9+MATCH("D/S",Parsed!$C$2:$C$10,0)),0)+IF(INDEX(Parsed!$K$2:$K$190,(MATCH(A39,Data!$B$2:$B$22,0)-1)*9+MATCH("True/kind",Parsed!$C$2:$C$10,0))=INDEX(Parsed!$H$2:$H$190,(MATCH(B39,Data!$B$2:$B$22,0)-1)*9+MATCH("True/kind",Parsed!$C$2:$C$10,0)),INDEX(Parsed!$M$2:$M$190,(MATCH(A39,Data!$B$2:$B$22,0)-1)*9+MATCH("True/kind",Parsed!$C$2:$C$10,0))*INDEX(Parsed!$I$2:$I$190,(MATCH(B39,Data!$B$2:$B$22,0)-1)*9+MATCH("True/kind",Parsed!$C$2:$C$10,0)),0)+IF(INDEX(Parsed!$K$2:$K$190,(MATCH(A39,Data!$B$2:$B$22,0)-1)*9+MATCH("Animal",Parsed!$C$2:$C$10,0))=INDEX(Parsed!$H$2:$H$190,(MATCH(B39,Data!$B$2:$B$22,0)-1)*9+MATCH("Animal",Parsed!$C$2:$C$10,0)),INDEX(Parsed!$M$2:$M$190,(MATCH(A39,Data!$B$2:$B$22,0)-1)*9+MATCH("Animal",Parsed!$C$2:$C$10,0))*INDEX(Parsed!$I$2:$I$190,(MATCH(B39,Data!$B$2:$B$22,0)-1)*9+MATCH("Animal",Parsed!$C$2:$C$10,0)),0),0)</x:f>
        <x:v>32.5</x:v>
      </x:c>
      <x:c r="E39" s="11" t="n">
        <x:f>SQRT(C39*D39)</x:f>
        <x:v>45.96194077712559</x:v>
      </x:c>
    </x:row>
    <x:row r="40">
      <x:c r="A40" t="str">
        <x:v>harry</x:v>
      </x:c>
      <x:c r="B40" t="str">
        <x:v>sophiah</x:v>
      </x:c>
      <x:c r="C40" s="11" t="n">
        <x:f>IFERROR(IF(INDEX(Parsed!$K$2:$K$190,(MATCH(B40,Data!$B$2:$B$22,0)-1)*9+MATCH("God",Parsed!$C$2:$C$10,0))=INDEX(Parsed!$H$2:$H$190,(MATCH(A40,Data!$B$2:$B$22,0)-1)*9+MATCH("God",Parsed!$C$2:$C$10,0)),INDEX(Parsed!$M$2:$M$190,(MATCH(B40,Data!$B$2:$B$22,0)-1)*9+MATCH("God",Parsed!$C$2:$C$10,0))*INDEX(Parsed!$I$2:$I$190,(MATCH(A40,Data!$B$2:$B$22,0)-1)*9+MATCH("God",Parsed!$C$2:$C$10,0)),0)+IF(INDEX(Parsed!$K$2:$K$190,(MATCH(B40,Data!$B$2:$B$22,0)-1)*9+MATCH("Politics",Parsed!$C$2:$C$10,0))=INDEX(Parsed!$H$2:$H$190,(MATCH(A40,Data!$B$2:$B$22,0)-1)*9+MATCH("Politics",Parsed!$C$2:$C$10,0)),INDEX(Parsed!$M$2:$M$190,(MATCH(B40,Data!$B$2:$B$22,0)-1)*9+MATCH("Politics",Parsed!$C$2:$C$10,0))*INDEX(Parsed!$I$2:$I$190,(MATCH(A40,Data!$B$2:$B$22,0)-1)*9+MATCH("Politics",Parsed!$C$2:$C$10,0)),0)+IF(INDEX(Parsed!$K$2:$K$190,(MATCH(B40,Data!$B$2:$B$22,0)-1)*9+MATCH("Marriage",Parsed!$C$2:$C$10,0))=INDEX(Parsed!$H$2:$H$190,(MATCH(A40,Data!$B$2:$B$22,0)-1)*9+MATCH("Marriage",Parsed!$C$2:$C$10,0)),INDEX(Parsed!$M$2:$M$190,(MATCH(B40,Data!$B$2:$B$22,0)-1)*9+MATCH("Marriage",Parsed!$C$2:$C$10,0))*INDEX(Parsed!$I$2:$I$190,(MATCH(A40,Data!$B$2:$B$22,0)-1)*9+MATCH("Marriage",Parsed!$C$2:$C$10,0)),0)+IF(INDEX(Parsed!$K$2:$K$190,(MATCH(B40,Data!$B$2:$B$22,0)-1)*9+MATCH("Children",Parsed!$C$2:$C$10,0))=INDEX(Parsed!$H$2:$H$190,(MATCH(A40,Data!$B$2:$B$22,0)-1)*9+MATCH("Children",Parsed!$C$2:$C$10,0)),INDEX(Parsed!$M$2:$M$190,(MATCH(B40,Data!$B$2:$B$22,0)-1)*9+MATCH("Children",Parsed!$C$2:$C$10,0))*INDEX(Parsed!$I$2:$I$190,(MATCH(A40,Data!$B$2:$B$22,0)-1)*9+MATCH("Children",Parsed!$C$2:$C$10,0)),0)+IF(INDEX(Parsed!$K$2:$K$190,(MATCH(B40,Data!$B$2:$B$22,0)-1)*9+MATCH("Ethicity",Parsed!$C$2:$C$10,0))=INDEX(Parsed!$H$2:$H$190,(MATCH(A40,Data!$B$2:$B$22,0)-1)*9+MATCH("Ethicity",Parsed!$C$2:$C$10,0)),INDEX(Parsed!$M$2:$M$190,(MATCH(B40,Data!$B$2:$B$22,0)-1)*9+MATCH("Ethicity",Parsed!$C$2:$C$10,0))*INDEX(Parsed!$I$2:$I$190,(MATCH(A40,Data!$B$2:$B$22,0)-1)*9+MATCH("Ethicity",Parsed!$C$2:$C$10,0)),0)+IF(INDEX(Parsed!$K$2:$K$190,(MATCH(B40,Data!$B$2:$B$22,0)-1)*9+MATCH("Past",Parsed!$C$2:$C$10,0))=INDEX(Parsed!$H$2:$H$190,(MATCH(A40,Data!$B$2:$B$22,0)-1)*9+MATCH("Past",Parsed!$C$2:$C$10,0)),INDEX(Parsed!$M$2:$M$190,(MATCH(B40,Data!$B$2:$B$22,0)-1)*9+MATCH("Past",Parsed!$C$2:$C$10,0))*INDEX(Parsed!$I$2:$I$190,(MATCH(A40,Data!$B$2:$B$22,0)-1)*9+MATCH("Past",Parsed!$C$2:$C$10,0)),0)+IF(INDEX(Parsed!$K$2:$K$190,(MATCH(B40,Data!$B$2:$B$22,0)-1)*9+MATCH("D/S",Parsed!$C$2:$C$10,0))=INDEX(Parsed!$H$2:$H$190,(MATCH(A40,Data!$B$2:$B$22,0)-1)*9+MATCH("D/S",Parsed!$C$2:$C$10,0)),INDEX(Parsed!$M$2:$M$190,(MATCH(B40,Data!$B$2:$B$22,0)-1)*9+MATCH("D/S",Parsed!$C$2:$C$10,0))*INDEX(Parsed!$I$2:$I$190,(MATCH(A40,Data!$B$2:$B$22,0)-1)*9+MATCH("D/S",Parsed!$C$2:$C$10,0)),0)+IF(INDEX(Parsed!$K$2:$K$190,(MATCH(B40,Data!$B$2:$B$22,0)-1)*9+MATCH("True/kind",Parsed!$C$2:$C$10,0))=INDEX(Parsed!$H$2:$H$190,(MATCH(A40,Data!$B$2:$B$22,0)-1)*9+MATCH("True/kind",Parsed!$C$2:$C$10,0)),INDEX(Parsed!$M$2:$M$190,(MATCH(B40,Data!$B$2:$B$22,0)-1)*9+MATCH("True/kind",Parsed!$C$2:$C$10,0))*INDEX(Parsed!$I$2:$I$190,(MATCH(A40,Data!$B$2:$B$22,0)-1)*9+MATCH("True/kind",Parsed!$C$2:$C$10,0)),0)+IF(INDEX(Parsed!$K$2:$K$190,(MATCH(B40,Data!$B$2:$B$22,0)-1)*9+MATCH("Animal",Parsed!$C$2:$C$10,0))=INDEX(Parsed!$H$2:$H$190,(MATCH(A40,Data!$B$2:$B$22,0)-1)*9+MATCH("Animal",Parsed!$C$2:$C$10,0)),INDEX(Parsed!$M$2:$M$190,(MATCH(B40,Data!$B$2:$B$22,0)-1)*9+MATCH("Animal",Parsed!$C$2:$C$10,0))*INDEX(Parsed!$I$2:$I$190,(MATCH(A40,Data!$B$2:$B$22,0)-1)*9+MATCH("Animal",Parsed!$C$2:$C$10,0)),0),0)</x:f>
        <x:v>30</x:v>
      </x:c>
      <x:c r="D40" s="11" t="n">
        <x:f>IFERROR(IF(INDEX(Parsed!$K$2:$K$190,(MATCH(A40,Data!$B$2:$B$22,0)-1)*9+MATCH("God",Parsed!$C$2:$C$10,0))=INDEX(Parsed!$H$2:$H$190,(MATCH(B40,Data!$B$2:$B$22,0)-1)*9+MATCH("God",Parsed!$C$2:$C$10,0)),INDEX(Parsed!$M$2:$M$190,(MATCH(A40,Data!$B$2:$B$22,0)-1)*9+MATCH("God",Parsed!$C$2:$C$10,0))*INDEX(Parsed!$I$2:$I$190,(MATCH(B40,Data!$B$2:$B$22,0)-1)*9+MATCH("God",Parsed!$C$2:$C$10,0)),0)+IF(INDEX(Parsed!$K$2:$K$190,(MATCH(A40,Data!$B$2:$B$22,0)-1)*9+MATCH("Politics",Parsed!$C$2:$C$10,0))=INDEX(Parsed!$H$2:$H$190,(MATCH(B40,Data!$B$2:$B$22,0)-1)*9+MATCH("Politics",Parsed!$C$2:$C$10,0)),INDEX(Parsed!$M$2:$M$190,(MATCH(A40,Data!$B$2:$B$22,0)-1)*9+MATCH("Politics",Parsed!$C$2:$C$10,0))*INDEX(Parsed!$I$2:$I$190,(MATCH(B40,Data!$B$2:$B$22,0)-1)*9+MATCH("Politics",Parsed!$C$2:$C$10,0)),0)+IF(INDEX(Parsed!$K$2:$K$190,(MATCH(A40,Data!$B$2:$B$22,0)-1)*9+MATCH("Marriage",Parsed!$C$2:$C$10,0))=INDEX(Parsed!$H$2:$H$190,(MATCH(B40,Data!$B$2:$B$22,0)-1)*9+MATCH("Marriage",Parsed!$C$2:$C$10,0)),INDEX(Parsed!$M$2:$M$190,(MATCH(A40,Data!$B$2:$B$22,0)-1)*9+MATCH("Marriage",Parsed!$C$2:$C$10,0))*INDEX(Parsed!$I$2:$I$190,(MATCH(B40,Data!$B$2:$B$22,0)-1)*9+MATCH("Marriage",Parsed!$C$2:$C$10,0)),0)+IF(INDEX(Parsed!$K$2:$K$190,(MATCH(A40,Data!$B$2:$B$22,0)-1)*9+MATCH("Children",Parsed!$C$2:$C$10,0))=INDEX(Parsed!$H$2:$H$190,(MATCH(B40,Data!$B$2:$B$22,0)-1)*9+MATCH("Children",Parsed!$C$2:$C$10,0)),INDEX(Parsed!$M$2:$M$190,(MATCH(A40,Data!$B$2:$B$22,0)-1)*9+MATCH("Children",Parsed!$C$2:$C$10,0))*INDEX(Parsed!$I$2:$I$190,(MATCH(B40,Data!$B$2:$B$22,0)-1)*9+MATCH("Children",Parsed!$C$2:$C$10,0)),0)+IF(INDEX(Parsed!$K$2:$K$190,(MATCH(A40,Data!$B$2:$B$22,0)-1)*9+MATCH("Ethicity",Parsed!$C$2:$C$10,0))=INDEX(Parsed!$H$2:$H$190,(MATCH(B40,Data!$B$2:$B$22,0)-1)*9+MATCH("Ethicity",Parsed!$C$2:$C$10,0)),INDEX(Parsed!$M$2:$M$190,(MATCH(A40,Data!$B$2:$B$22,0)-1)*9+MATCH("Ethicity",Parsed!$C$2:$C$10,0))*INDEX(Parsed!$I$2:$I$190,(MATCH(B40,Data!$B$2:$B$22,0)-1)*9+MATCH("Ethicity",Parsed!$C$2:$C$10,0)),0)+IF(INDEX(Parsed!$K$2:$K$190,(MATCH(A40,Data!$B$2:$B$22,0)-1)*9+MATCH("Past",Parsed!$C$2:$C$10,0))=INDEX(Parsed!$H$2:$H$190,(MATCH(B40,Data!$B$2:$B$22,0)-1)*9+MATCH("Past",Parsed!$C$2:$C$10,0)),INDEX(Parsed!$M$2:$M$190,(MATCH(A40,Data!$B$2:$B$22,0)-1)*9+MATCH("Past",Parsed!$C$2:$C$10,0))*INDEX(Parsed!$I$2:$I$190,(MATCH(B40,Data!$B$2:$B$22,0)-1)*9+MATCH("Past",Parsed!$C$2:$C$10,0)),0)+IF(INDEX(Parsed!$K$2:$K$190,(MATCH(A40,Data!$B$2:$B$22,0)-1)*9+MATCH("D/S",Parsed!$C$2:$C$10,0))=INDEX(Parsed!$H$2:$H$190,(MATCH(B40,Data!$B$2:$B$22,0)-1)*9+MATCH("D/S",Parsed!$C$2:$C$10,0)),INDEX(Parsed!$M$2:$M$190,(MATCH(A40,Data!$B$2:$B$22,0)-1)*9+MATCH("D/S",Parsed!$C$2:$C$10,0))*INDEX(Parsed!$I$2:$I$190,(MATCH(B40,Data!$B$2:$B$22,0)-1)*9+MATCH("D/S",Parsed!$C$2:$C$10,0)),0)+IF(INDEX(Parsed!$K$2:$K$190,(MATCH(A40,Data!$B$2:$B$22,0)-1)*9+MATCH("True/kind",Parsed!$C$2:$C$10,0))=INDEX(Parsed!$H$2:$H$190,(MATCH(B40,Data!$B$2:$B$22,0)-1)*9+MATCH("True/kind",Parsed!$C$2:$C$10,0)),INDEX(Parsed!$M$2:$M$190,(MATCH(A40,Data!$B$2:$B$22,0)-1)*9+MATCH("True/kind",Parsed!$C$2:$C$10,0))*INDEX(Parsed!$I$2:$I$190,(MATCH(B40,Data!$B$2:$B$22,0)-1)*9+MATCH("True/kind",Parsed!$C$2:$C$10,0)),0)+IF(INDEX(Parsed!$K$2:$K$190,(MATCH(A40,Data!$B$2:$B$22,0)-1)*9+MATCH("Animal",Parsed!$C$2:$C$10,0))=INDEX(Parsed!$H$2:$H$190,(MATCH(B40,Data!$B$2:$B$22,0)-1)*9+MATCH("Animal",Parsed!$C$2:$C$10,0)),INDEX(Parsed!$M$2:$M$190,(MATCH(A40,Data!$B$2:$B$22,0)-1)*9+MATCH("Animal",Parsed!$C$2:$C$10,0))*INDEX(Parsed!$I$2:$I$190,(MATCH(B40,Data!$B$2:$B$22,0)-1)*9+MATCH("Animal",Parsed!$C$2:$C$10,0)),0),0)</x:f>
        <x:v>42.5</x:v>
      </x:c>
      <x:c r="E40" s="11" t="n">
        <x:f>SQRT(C40*D40)</x:f>
        <x:v>35.70714214271425</x:v>
      </x:c>
    </x:row>
    <x:row r="41">
      <x:c r="A41" t="str">
        <x:v>harry</x:v>
      </x:c>
      <x:c r="B41" t="str">
        <x:v>angela</x:v>
      </x:c>
      <x:c r="C41" s="11" t="n">
        <x:f>IFERROR(IF(INDEX(Parsed!$K$2:$K$190,(MATCH(B41,Data!$B$2:$B$22,0)-1)*9+MATCH("God",Parsed!$C$2:$C$10,0))=INDEX(Parsed!$H$2:$H$190,(MATCH(A41,Data!$B$2:$B$22,0)-1)*9+MATCH("God",Parsed!$C$2:$C$10,0)),INDEX(Parsed!$M$2:$M$190,(MATCH(B41,Data!$B$2:$B$22,0)-1)*9+MATCH("God",Parsed!$C$2:$C$10,0))*INDEX(Parsed!$I$2:$I$190,(MATCH(A41,Data!$B$2:$B$22,0)-1)*9+MATCH("God",Parsed!$C$2:$C$10,0)),0)+IF(INDEX(Parsed!$K$2:$K$190,(MATCH(B41,Data!$B$2:$B$22,0)-1)*9+MATCH("Politics",Parsed!$C$2:$C$10,0))=INDEX(Parsed!$H$2:$H$190,(MATCH(A41,Data!$B$2:$B$22,0)-1)*9+MATCH("Politics",Parsed!$C$2:$C$10,0)),INDEX(Parsed!$M$2:$M$190,(MATCH(B41,Data!$B$2:$B$22,0)-1)*9+MATCH("Politics",Parsed!$C$2:$C$10,0))*INDEX(Parsed!$I$2:$I$190,(MATCH(A41,Data!$B$2:$B$22,0)-1)*9+MATCH("Politics",Parsed!$C$2:$C$10,0)),0)+IF(INDEX(Parsed!$K$2:$K$190,(MATCH(B41,Data!$B$2:$B$22,0)-1)*9+MATCH("Marriage",Parsed!$C$2:$C$10,0))=INDEX(Parsed!$H$2:$H$190,(MATCH(A41,Data!$B$2:$B$22,0)-1)*9+MATCH("Marriage",Parsed!$C$2:$C$10,0)),INDEX(Parsed!$M$2:$M$190,(MATCH(B41,Data!$B$2:$B$22,0)-1)*9+MATCH("Marriage",Parsed!$C$2:$C$10,0))*INDEX(Parsed!$I$2:$I$190,(MATCH(A41,Data!$B$2:$B$22,0)-1)*9+MATCH("Marriage",Parsed!$C$2:$C$10,0)),0)+IF(INDEX(Parsed!$K$2:$K$190,(MATCH(B41,Data!$B$2:$B$22,0)-1)*9+MATCH("Children",Parsed!$C$2:$C$10,0))=INDEX(Parsed!$H$2:$H$190,(MATCH(A41,Data!$B$2:$B$22,0)-1)*9+MATCH("Children",Parsed!$C$2:$C$10,0)),INDEX(Parsed!$M$2:$M$190,(MATCH(B41,Data!$B$2:$B$22,0)-1)*9+MATCH("Children",Parsed!$C$2:$C$10,0))*INDEX(Parsed!$I$2:$I$190,(MATCH(A41,Data!$B$2:$B$22,0)-1)*9+MATCH("Children",Parsed!$C$2:$C$10,0)),0)+IF(INDEX(Parsed!$K$2:$K$190,(MATCH(B41,Data!$B$2:$B$22,0)-1)*9+MATCH("Ethicity",Parsed!$C$2:$C$10,0))=INDEX(Parsed!$H$2:$H$190,(MATCH(A41,Data!$B$2:$B$22,0)-1)*9+MATCH("Ethicity",Parsed!$C$2:$C$10,0)),INDEX(Parsed!$M$2:$M$190,(MATCH(B41,Data!$B$2:$B$22,0)-1)*9+MATCH("Ethicity",Parsed!$C$2:$C$10,0))*INDEX(Parsed!$I$2:$I$190,(MATCH(A41,Data!$B$2:$B$22,0)-1)*9+MATCH("Ethicity",Parsed!$C$2:$C$10,0)),0)+IF(INDEX(Parsed!$K$2:$K$190,(MATCH(B41,Data!$B$2:$B$22,0)-1)*9+MATCH("Past",Parsed!$C$2:$C$10,0))=INDEX(Parsed!$H$2:$H$190,(MATCH(A41,Data!$B$2:$B$22,0)-1)*9+MATCH("Past",Parsed!$C$2:$C$10,0)),INDEX(Parsed!$M$2:$M$190,(MATCH(B41,Data!$B$2:$B$22,0)-1)*9+MATCH("Past",Parsed!$C$2:$C$10,0))*INDEX(Parsed!$I$2:$I$190,(MATCH(A41,Data!$B$2:$B$22,0)-1)*9+MATCH("Past",Parsed!$C$2:$C$10,0)),0)+IF(INDEX(Parsed!$K$2:$K$190,(MATCH(B41,Data!$B$2:$B$22,0)-1)*9+MATCH("D/S",Parsed!$C$2:$C$10,0))=INDEX(Parsed!$H$2:$H$190,(MATCH(A41,Data!$B$2:$B$22,0)-1)*9+MATCH("D/S",Parsed!$C$2:$C$10,0)),INDEX(Parsed!$M$2:$M$190,(MATCH(B41,Data!$B$2:$B$22,0)-1)*9+MATCH("D/S",Parsed!$C$2:$C$10,0))*INDEX(Parsed!$I$2:$I$190,(MATCH(A41,Data!$B$2:$B$22,0)-1)*9+MATCH("D/S",Parsed!$C$2:$C$10,0)),0)+IF(INDEX(Parsed!$K$2:$K$190,(MATCH(B41,Data!$B$2:$B$22,0)-1)*9+MATCH("True/kind",Parsed!$C$2:$C$10,0))=INDEX(Parsed!$H$2:$H$190,(MATCH(A41,Data!$B$2:$B$22,0)-1)*9+MATCH("True/kind",Parsed!$C$2:$C$10,0)),INDEX(Parsed!$M$2:$M$190,(MATCH(B41,Data!$B$2:$B$22,0)-1)*9+MATCH("True/kind",Parsed!$C$2:$C$10,0))*INDEX(Parsed!$I$2:$I$190,(MATCH(A41,Data!$B$2:$B$22,0)-1)*9+MATCH("True/kind",Parsed!$C$2:$C$10,0)),0)+IF(INDEX(Parsed!$K$2:$K$190,(MATCH(B41,Data!$B$2:$B$22,0)-1)*9+MATCH("Animal",Parsed!$C$2:$C$10,0))=INDEX(Parsed!$H$2:$H$190,(MATCH(A41,Data!$B$2:$B$22,0)-1)*9+MATCH("Animal",Parsed!$C$2:$C$10,0)),INDEX(Parsed!$M$2:$M$190,(MATCH(B41,Data!$B$2:$B$22,0)-1)*9+MATCH("Animal",Parsed!$C$2:$C$10,0))*INDEX(Parsed!$I$2:$I$190,(MATCH(A41,Data!$B$2:$B$22,0)-1)*9+MATCH("Animal",Parsed!$C$2:$C$10,0)),0),0)</x:f>
        <x:v>81.25</x:v>
      </x:c>
      <x:c r="D41" s="11" t="n">
        <x:f>IFERROR(IF(INDEX(Parsed!$K$2:$K$190,(MATCH(A41,Data!$B$2:$B$22,0)-1)*9+MATCH("God",Parsed!$C$2:$C$10,0))=INDEX(Parsed!$H$2:$H$190,(MATCH(B41,Data!$B$2:$B$22,0)-1)*9+MATCH("God",Parsed!$C$2:$C$10,0)),INDEX(Parsed!$M$2:$M$190,(MATCH(A41,Data!$B$2:$B$22,0)-1)*9+MATCH("God",Parsed!$C$2:$C$10,0))*INDEX(Parsed!$I$2:$I$190,(MATCH(B41,Data!$B$2:$B$22,0)-1)*9+MATCH("God",Parsed!$C$2:$C$10,0)),0)+IF(INDEX(Parsed!$K$2:$K$190,(MATCH(A41,Data!$B$2:$B$22,0)-1)*9+MATCH("Politics",Parsed!$C$2:$C$10,0))=INDEX(Parsed!$H$2:$H$190,(MATCH(B41,Data!$B$2:$B$22,0)-1)*9+MATCH("Politics",Parsed!$C$2:$C$10,0)),INDEX(Parsed!$M$2:$M$190,(MATCH(A41,Data!$B$2:$B$22,0)-1)*9+MATCH("Politics",Parsed!$C$2:$C$10,0))*INDEX(Parsed!$I$2:$I$190,(MATCH(B41,Data!$B$2:$B$22,0)-1)*9+MATCH("Politics",Parsed!$C$2:$C$10,0)),0)+IF(INDEX(Parsed!$K$2:$K$190,(MATCH(A41,Data!$B$2:$B$22,0)-1)*9+MATCH("Marriage",Parsed!$C$2:$C$10,0))=INDEX(Parsed!$H$2:$H$190,(MATCH(B41,Data!$B$2:$B$22,0)-1)*9+MATCH("Marriage",Parsed!$C$2:$C$10,0)),INDEX(Parsed!$M$2:$M$190,(MATCH(A41,Data!$B$2:$B$22,0)-1)*9+MATCH("Marriage",Parsed!$C$2:$C$10,0))*INDEX(Parsed!$I$2:$I$190,(MATCH(B41,Data!$B$2:$B$22,0)-1)*9+MATCH("Marriage",Parsed!$C$2:$C$10,0)),0)+IF(INDEX(Parsed!$K$2:$K$190,(MATCH(A41,Data!$B$2:$B$22,0)-1)*9+MATCH("Children",Parsed!$C$2:$C$10,0))=INDEX(Parsed!$H$2:$H$190,(MATCH(B41,Data!$B$2:$B$22,0)-1)*9+MATCH("Children",Parsed!$C$2:$C$10,0)),INDEX(Parsed!$M$2:$M$190,(MATCH(A41,Data!$B$2:$B$22,0)-1)*9+MATCH("Children",Parsed!$C$2:$C$10,0))*INDEX(Parsed!$I$2:$I$190,(MATCH(B41,Data!$B$2:$B$22,0)-1)*9+MATCH("Children",Parsed!$C$2:$C$10,0)),0)+IF(INDEX(Parsed!$K$2:$K$190,(MATCH(A41,Data!$B$2:$B$22,0)-1)*9+MATCH("Ethicity",Parsed!$C$2:$C$10,0))=INDEX(Parsed!$H$2:$H$190,(MATCH(B41,Data!$B$2:$B$22,0)-1)*9+MATCH("Ethicity",Parsed!$C$2:$C$10,0)),INDEX(Parsed!$M$2:$M$190,(MATCH(A41,Data!$B$2:$B$22,0)-1)*9+MATCH("Ethicity",Parsed!$C$2:$C$10,0))*INDEX(Parsed!$I$2:$I$190,(MATCH(B41,Data!$B$2:$B$22,0)-1)*9+MATCH("Ethicity",Parsed!$C$2:$C$10,0)),0)+IF(INDEX(Parsed!$K$2:$K$190,(MATCH(A41,Data!$B$2:$B$22,0)-1)*9+MATCH("Past",Parsed!$C$2:$C$10,0))=INDEX(Parsed!$H$2:$H$190,(MATCH(B41,Data!$B$2:$B$22,0)-1)*9+MATCH("Past",Parsed!$C$2:$C$10,0)),INDEX(Parsed!$M$2:$M$190,(MATCH(A41,Data!$B$2:$B$22,0)-1)*9+MATCH("Past",Parsed!$C$2:$C$10,0))*INDEX(Parsed!$I$2:$I$190,(MATCH(B41,Data!$B$2:$B$22,0)-1)*9+MATCH("Past",Parsed!$C$2:$C$10,0)),0)+IF(INDEX(Parsed!$K$2:$K$190,(MATCH(A41,Data!$B$2:$B$22,0)-1)*9+MATCH("D/S",Parsed!$C$2:$C$10,0))=INDEX(Parsed!$H$2:$H$190,(MATCH(B41,Data!$B$2:$B$22,0)-1)*9+MATCH("D/S",Parsed!$C$2:$C$10,0)),INDEX(Parsed!$M$2:$M$190,(MATCH(A41,Data!$B$2:$B$22,0)-1)*9+MATCH("D/S",Parsed!$C$2:$C$10,0))*INDEX(Parsed!$I$2:$I$190,(MATCH(B41,Data!$B$2:$B$22,0)-1)*9+MATCH("D/S",Parsed!$C$2:$C$10,0)),0)+IF(INDEX(Parsed!$K$2:$K$190,(MATCH(A41,Data!$B$2:$B$22,0)-1)*9+MATCH("True/kind",Parsed!$C$2:$C$10,0))=INDEX(Parsed!$H$2:$H$190,(MATCH(B41,Data!$B$2:$B$22,0)-1)*9+MATCH("True/kind",Parsed!$C$2:$C$10,0)),INDEX(Parsed!$M$2:$M$190,(MATCH(A41,Data!$B$2:$B$22,0)-1)*9+MATCH("True/kind",Parsed!$C$2:$C$10,0))*INDEX(Parsed!$I$2:$I$190,(MATCH(B41,Data!$B$2:$B$22,0)-1)*9+MATCH("True/kind",Parsed!$C$2:$C$10,0)),0)+IF(INDEX(Parsed!$K$2:$K$190,(MATCH(A41,Data!$B$2:$B$22,0)-1)*9+MATCH("Animal",Parsed!$C$2:$C$10,0))=INDEX(Parsed!$H$2:$H$190,(MATCH(B41,Data!$B$2:$B$22,0)-1)*9+MATCH("Animal",Parsed!$C$2:$C$10,0)),INDEX(Parsed!$M$2:$M$190,(MATCH(A41,Data!$B$2:$B$22,0)-1)*9+MATCH("Animal",Parsed!$C$2:$C$10,0))*INDEX(Parsed!$I$2:$I$190,(MATCH(B41,Data!$B$2:$B$22,0)-1)*9+MATCH("Animal",Parsed!$C$2:$C$10,0)),0),0)</x:f>
        <x:v>30</x:v>
      </x:c>
      <x:c r="E41" s="11" t="n">
        <x:f>SQRT(C41*D41)</x:f>
        <x:v>49.371044145328746</x:v>
      </x:c>
    </x:row>
    <x:row r="42">
      <x:c r="A42" t="str">
        <x:v>harry</x:v>
      </x:c>
      <x:c r="B42" t="str">
        <x:v>issabel</x:v>
      </x:c>
      <x:c r="C42" s="11" t="n">
        <x:f>IFERROR(IF(INDEX(Parsed!$K$2:$K$190,(MATCH(B42,Data!$B$2:$B$22,0)-1)*9+MATCH("God",Parsed!$C$2:$C$10,0))=INDEX(Parsed!$H$2:$H$190,(MATCH(A42,Data!$B$2:$B$22,0)-1)*9+MATCH("God",Parsed!$C$2:$C$10,0)),INDEX(Parsed!$M$2:$M$190,(MATCH(B42,Data!$B$2:$B$22,0)-1)*9+MATCH("God",Parsed!$C$2:$C$10,0))*INDEX(Parsed!$I$2:$I$190,(MATCH(A42,Data!$B$2:$B$22,0)-1)*9+MATCH("God",Parsed!$C$2:$C$10,0)),0)+IF(INDEX(Parsed!$K$2:$K$190,(MATCH(B42,Data!$B$2:$B$22,0)-1)*9+MATCH("Politics",Parsed!$C$2:$C$10,0))=INDEX(Parsed!$H$2:$H$190,(MATCH(A42,Data!$B$2:$B$22,0)-1)*9+MATCH("Politics",Parsed!$C$2:$C$10,0)),INDEX(Parsed!$M$2:$M$190,(MATCH(B42,Data!$B$2:$B$22,0)-1)*9+MATCH("Politics",Parsed!$C$2:$C$10,0))*INDEX(Parsed!$I$2:$I$190,(MATCH(A42,Data!$B$2:$B$22,0)-1)*9+MATCH("Politics",Parsed!$C$2:$C$10,0)),0)+IF(INDEX(Parsed!$K$2:$K$190,(MATCH(B42,Data!$B$2:$B$22,0)-1)*9+MATCH("Marriage",Parsed!$C$2:$C$10,0))=INDEX(Parsed!$H$2:$H$190,(MATCH(A42,Data!$B$2:$B$22,0)-1)*9+MATCH("Marriage",Parsed!$C$2:$C$10,0)),INDEX(Parsed!$M$2:$M$190,(MATCH(B42,Data!$B$2:$B$22,0)-1)*9+MATCH("Marriage",Parsed!$C$2:$C$10,0))*INDEX(Parsed!$I$2:$I$190,(MATCH(A42,Data!$B$2:$B$22,0)-1)*9+MATCH("Marriage",Parsed!$C$2:$C$10,0)),0)+IF(INDEX(Parsed!$K$2:$K$190,(MATCH(B42,Data!$B$2:$B$22,0)-1)*9+MATCH("Children",Parsed!$C$2:$C$10,0))=INDEX(Parsed!$H$2:$H$190,(MATCH(A42,Data!$B$2:$B$22,0)-1)*9+MATCH("Children",Parsed!$C$2:$C$10,0)),INDEX(Parsed!$M$2:$M$190,(MATCH(B42,Data!$B$2:$B$22,0)-1)*9+MATCH("Children",Parsed!$C$2:$C$10,0))*INDEX(Parsed!$I$2:$I$190,(MATCH(A42,Data!$B$2:$B$22,0)-1)*9+MATCH("Children",Parsed!$C$2:$C$10,0)),0)+IF(INDEX(Parsed!$K$2:$K$190,(MATCH(B42,Data!$B$2:$B$22,0)-1)*9+MATCH("Ethicity",Parsed!$C$2:$C$10,0))=INDEX(Parsed!$H$2:$H$190,(MATCH(A42,Data!$B$2:$B$22,0)-1)*9+MATCH("Ethicity",Parsed!$C$2:$C$10,0)),INDEX(Parsed!$M$2:$M$190,(MATCH(B42,Data!$B$2:$B$22,0)-1)*9+MATCH("Ethicity",Parsed!$C$2:$C$10,0))*INDEX(Parsed!$I$2:$I$190,(MATCH(A42,Data!$B$2:$B$22,0)-1)*9+MATCH("Ethicity",Parsed!$C$2:$C$10,0)),0)+IF(INDEX(Parsed!$K$2:$K$190,(MATCH(B42,Data!$B$2:$B$22,0)-1)*9+MATCH("Past",Parsed!$C$2:$C$10,0))=INDEX(Parsed!$H$2:$H$190,(MATCH(A42,Data!$B$2:$B$22,0)-1)*9+MATCH("Past",Parsed!$C$2:$C$10,0)),INDEX(Parsed!$M$2:$M$190,(MATCH(B42,Data!$B$2:$B$22,0)-1)*9+MATCH("Past",Parsed!$C$2:$C$10,0))*INDEX(Parsed!$I$2:$I$190,(MATCH(A42,Data!$B$2:$B$22,0)-1)*9+MATCH("Past",Parsed!$C$2:$C$10,0)),0)+IF(INDEX(Parsed!$K$2:$K$190,(MATCH(B42,Data!$B$2:$B$22,0)-1)*9+MATCH("D/S",Parsed!$C$2:$C$10,0))=INDEX(Parsed!$H$2:$H$190,(MATCH(A42,Data!$B$2:$B$22,0)-1)*9+MATCH("D/S",Parsed!$C$2:$C$10,0)),INDEX(Parsed!$M$2:$M$190,(MATCH(B42,Data!$B$2:$B$22,0)-1)*9+MATCH("D/S",Parsed!$C$2:$C$10,0))*INDEX(Parsed!$I$2:$I$190,(MATCH(A42,Data!$B$2:$B$22,0)-1)*9+MATCH("D/S",Parsed!$C$2:$C$10,0)),0)+IF(INDEX(Parsed!$K$2:$K$190,(MATCH(B42,Data!$B$2:$B$22,0)-1)*9+MATCH("True/kind",Parsed!$C$2:$C$10,0))=INDEX(Parsed!$H$2:$H$190,(MATCH(A42,Data!$B$2:$B$22,0)-1)*9+MATCH("True/kind",Parsed!$C$2:$C$10,0)),INDEX(Parsed!$M$2:$M$190,(MATCH(B42,Data!$B$2:$B$22,0)-1)*9+MATCH("True/kind",Parsed!$C$2:$C$10,0))*INDEX(Parsed!$I$2:$I$190,(MATCH(A42,Data!$B$2:$B$22,0)-1)*9+MATCH("True/kind",Parsed!$C$2:$C$10,0)),0)+IF(INDEX(Parsed!$K$2:$K$190,(MATCH(B42,Data!$B$2:$B$22,0)-1)*9+MATCH("Animal",Parsed!$C$2:$C$10,0))=INDEX(Parsed!$H$2:$H$190,(MATCH(A42,Data!$B$2:$B$22,0)-1)*9+MATCH("Animal",Parsed!$C$2:$C$10,0)),INDEX(Parsed!$M$2:$M$190,(MATCH(B42,Data!$B$2:$B$22,0)-1)*9+MATCH("Animal",Parsed!$C$2:$C$10,0))*INDEX(Parsed!$I$2:$I$190,(MATCH(A42,Data!$B$2:$B$22,0)-1)*9+MATCH("Animal",Parsed!$C$2:$C$10,0)),0),0)</x:f>
        <x:v>68.75</x:v>
      </x:c>
      <x:c r="D42" s="11" t="n">
        <x:f>IFERROR(IF(INDEX(Parsed!$K$2:$K$190,(MATCH(A42,Data!$B$2:$B$22,0)-1)*9+MATCH("God",Parsed!$C$2:$C$10,0))=INDEX(Parsed!$H$2:$H$190,(MATCH(B42,Data!$B$2:$B$22,0)-1)*9+MATCH("God",Parsed!$C$2:$C$10,0)),INDEX(Parsed!$M$2:$M$190,(MATCH(A42,Data!$B$2:$B$22,0)-1)*9+MATCH("God",Parsed!$C$2:$C$10,0))*INDEX(Parsed!$I$2:$I$190,(MATCH(B42,Data!$B$2:$B$22,0)-1)*9+MATCH("God",Parsed!$C$2:$C$10,0)),0)+IF(INDEX(Parsed!$K$2:$K$190,(MATCH(A42,Data!$B$2:$B$22,0)-1)*9+MATCH("Politics",Parsed!$C$2:$C$10,0))=INDEX(Parsed!$H$2:$H$190,(MATCH(B42,Data!$B$2:$B$22,0)-1)*9+MATCH("Politics",Parsed!$C$2:$C$10,0)),INDEX(Parsed!$M$2:$M$190,(MATCH(A42,Data!$B$2:$B$22,0)-1)*9+MATCH("Politics",Parsed!$C$2:$C$10,0))*INDEX(Parsed!$I$2:$I$190,(MATCH(B42,Data!$B$2:$B$22,0)-1)*9+MATCH("Politics",Parsed!$C$2:$C$10,0)),0)+IF(INDEX(Parsed!$K$2:$K$190,(MATCH(A42,Data!$B$2:$B$22,0)-1)*9+MATCH("Marriage",Parsed!$C$2:$C$10,0))=INDEX(Parsed!$H$2:$H$190,(MATCH(B42,Data!$B$2:$B$22,0)-1)*9+MATCH("Marriage",Parsed!$C$2:$C$10,0)),INDEX(Parsed!$M$2:$M$190,(MATCH(A42,Data!$B$2:$B$22,0)-1)*9+MATCH("Marriage",Parsed!$C$2:$C$10,0))*INDEX(Parsed!$I$2:$I$190,(MATCH(B42,Data!$B$2:$B$22,0)-1)*9+MATCH("Marriage",Parsed!$C$2:$C$10,0)),0)+IF(INDEX(Parsed!$K$2:$K$190,(MATCH(A42,Data!$B$2:$B$22,0)-1)*9+MATCH("Children",Parsed!$C$2:$C$10,0))=INDEX(Parsed!$H$2:$H$190,(MATCH(B42,Data!$B$2:$B$22,0)-1)*9+MATCH("Children",Parsed!$C$2:$C$10,0)),INDEX(Parsed!$M$2:$M$190,(MATCH(A42,Data!$B$2:$B$22,0)-1)*9+MATCH("Children",Parsed!$C$2:$C$10,0))*INDEX(Parsed!$I$2:$I$190,(MATCH(B42,Data!$B$2:$B$22,0)-1)*9+MATCH("Children",Parsed!$C$2:$C$10,0)),0)+IF(INDEX(Parsed!$K$2:$K$190,(MATCH(A42,Data!$B$2:$B$22,0)-1)*9+MATCH("Ethicity",Parsed!$C$2:$C$10,0))=INDEX(Parsed!$H$2:$H$190,(MATCH(B42,Data!$B$2:$B$22,0)-1)*9+MATCH("Ethicity",Parsed!$C$2:$C$10,0)),INDEX(Parsed!$M$2:$M$190,(MATCH(A42,Data!$B$2:$B$22,0)-1)*9+MATCH("Ethicity",Parsed!$C$2:$C$10,0))*INDEX(Parsed!$I$2:$I$190,(MATCH(B42,Data!$B$2:$B$22,0)-1)*9+MATCH("Ethicity",Parsed!$C$2:$C$10,0)),0)+IF(INDEX(Parsed!$K$2:$K$190,(MATCH(A42,Data!$B$2:$B$22,0)-1)*9+MATCH("Past",Parsed!$C$2:$C$10,0))=INDEX(Parsed!$H$2:$H$190,(MATCH(B42,Data!$B$2:$B$22,0)-1)*9+MATCH("Past",Parsed!$C$2:$C$10,0)),INDEX(Parsed!$M$2:$M$190,(MATCH(A42,Data!$B$2:$B$22,0)-1)*9+MATCH("Past",Parsed!$C$2:$C$10,0))*INDEX(Parsed!$I$2:$I$190,(MATCH(B42,Data!$B$2:$B$22,0)-1)*9+MATCH("Past",Parsed!$C$2:$C$10,0)),0)+IF(INDEX(Parsed!$K$2:$K$190,(MATCH(A42,Data!$B$2:$B$22,0)-1)*9+MATCH("D/S",Parsed!$C$2:$C$10,0))=INDEX(Parsed!$H$2:$H$190,(MATCH(B42,Data!$B$2:$B$22,0)-1)*9+MATCH("D/S",Parsed!$C$2:$C$10,0)),INDEX(Parsed!$M$2:$M$190,(MATCH(A42,Data!$B$2:$B$22,0)-1)*9+MATCH("D/S",Parsed!$C$2:$C$10,0))*INDEX(Parsed!$I$2:$I$190,(MATCH(B42,Data!$B$2:$B$22,0)-1)*9+MATCH("D/S",Parsed!$C$2:$C$10,0)),0)+IF(INDEX(Parsed!$K$2:$K$190,(MATCH(A42,Data!$B$2:$B$22,0)-1)*9+MATCH("True/kind",Parsed!$C$2:$C$10,0))=INDEX(Parsed!$H$2:$H$190,(MATCH(B42,Data!$B$2:$B$22,0)-1)*9+MATCH("True/kind",Parsed!$C$2:$C$10,0)),INDEX(Parsed!$M$2:$M$190,(MATCH(A42,Data!$B$2:$B$22,0)-1)*9+MATCH("True/kind",Parsed!$C$2:$C$10,0))*INDEX(Parsed!$I$2:$I$190,(MATCH(B42,Data!$B$2:$B$22,0)-1)*9+MATCH("True/kind",Parsed!$C$2:$C$10,0)),0)+IF(INDEX(Parsed!$K$2:$K$190,(MATCH(A42,Data!$B$2:$B$22,0)-1)*9+MATCH("Animal",Parsed!$C$2:$C$10,0))=INDEX(Parsed!$H$2:$H$190,(MATCH(B42,Data!$B$2:$B$22,0)-1)*9+MATCH("Animal",Parsed!$C$2:$C$10,0)),INDEX(Parsed!$M$2:$M$190,(MATCH(A42,Data!$B$2:$B$22,0)-1)*9+MATCH("Animal",Parsed!$C$2:$C$10,0))*INDEX(Parsed!$I$2:$I$190,(MATCH(B42,Data!$B$2:$B$22,0)-1)*9+MATCH("Animal",Parsed!$C$2:$C$10,0)),0),0)</x:f>
        <x:v>80</x:v>
      </x:c>
      <x:c r="E42" s="11" t="n">
        <x:f>SQRT(C42*D42)</x:f>
        <x:v>74.16198487095663</x:v>
      </x:c>
    </x:row>
    <x:row r="43">
      <x:c r="A43" t="str">
        <x:v>harry</x:v>
      </x:c>
      <x:c r="B43" t="str">
        <x:v>lydia</x:v>
      </x:c>
      <x:c r="C43" s="11" t="n">
        <x:f>IFERROR(IF(INDEX(Parsed!$K$2:$K$190,(MATCH(B43,Data!$B$2:$B$22,0)-1)*9+MATCH("God",Parsed!$C$2:$C$10,0))=INDEX(Parsed!$H$2:$H$190,(MATCH(A43,Data!$B$2:$B$22,0)-1)*9+MATCH("God",Parsed!$C$2:$C$10,0)),INDEX(Parsed!$M$2:$M$190,(MATCH(B43,Data!$B$2:$B$22,0)-1)*9+MATCH("God",Parsed!$C$2:$C$10,0))*INDEX(Parsed!$I$2:$I$190,(MATCH(A43,Data!$B$2:$B$22,0)-1)*9+MATCH("God",Parsed!$C$2:$C$10,0)),0)+IF(INDEX(Parsed!$K$2:$K$190,(MATCH(B43,Data!$B$2:$B$22,0)-1)*9+MATCH("Politics",Parsed!$C$2:$C$10,0))=INDEX(Parsed!$H$2:$H$190,(MATCH(A43,Data!$B$2:$B$22,0)-1)*9+MATCH("Politics",Parsed!$C$2:$C$10,0)),INDEX(Parsed!$M$2:$M$190,(MATCH(B43,Data!$B$2:$B$22,0)-1)*9+MATCH("Politics",Parsed!$C$2:$C$10,0))*INDEX(Parsed!$I$2:$I$190,(MATCH(A43,Data!$B$2:$B$22,0)-1)*9+MATCH("Politics",Parsed!$C$2:$C$10,0)),0)+IF(INDEX(Parsed!$K$2:$K$190,(MATCH(B43,Data!$B$2:$B$22,0)-1)*9+MATCH("Marriage",Parsed!$C$2:$C$10,0))=INDEX(Parsed!$H$2:$H$190,(MATCH(A43,Data!$B$2:$B$22,0)-1)*9+MATCH("Marriage",Parsed!$C$2:$C$10,0)),INDEX(Parsed!$M$2:$M$190,(MATCH(B43,Data!$B$2:$B$22,0)-1)*9+MATCH("Marriage",Parsed!$C$2:$C$10,0))*INDEX(Parsed!$I$2:$I$190,(MATCH(A43,Data!$B$2:$B$22,0)-1)*9+MATCH("Marriage",Parsed!$C$2:$C$10,0)),0)+IF(INDEX(Parsed!$K$2:$K$190,(MATCH(B43,Data!$B$2:$B$22,0)-1)*9+MATCH("Children",Parsed!$C$2:$C$10,0))=INDEX(Parsed!$H$2:$H$190,(MATCH(A43,Data!$B$2:$B$22,0)-1)*9+MATCH("Children",Parsed!$C$2:$C$10,0)),INDEX(Parsed!$M$2:$M$190,(MATCH(B43,Data!$B$2:$B$22,0)-1)*9+MATCH("Children",Parsed!$C$2:$C$10,0))*INDEX(Parsed!$I$2:$I$190,(MATCH(A43,Data!$B$2:$B$22,0)-1)*9+MATCH("Children",Parsed!$C$2:$C$10,0)),0)+IF(INDEX(Parsed!$K$2:$K$190,(MATCH(B43,Data!$B$2:$B$22,0)-1)*9+MATCH("Ethicity",Parsed!$C$2:$C$10,0))=INDEX(Parsed!$H$2:$H$190,(MATCH(A43,Data!$B$2:$B$22,0)-1)*9+MATCH("Ethicity",Parsed!$C$2:$C$10,0)),INDEX(Parsed!$M$2:$M$190,(MATCH(B43,Data!$B$2:$B$22,0)-1)*9+MATCH("Ethicity",Parsed!$C$2:$C$10,0))*INDEX(Parsed!$I$2:$I$190,(MATCH(A43,Data!$B$2:$B$22,0)-1)*9+MATCH("Ethicity",Parsed!$C$2:$C$10,0)),0)+IF(INDEX(Parsed!$K$2:$K$190,(MATCH(B43,Data!$B$2:$B$22,0)-1)*9+MATCH("Past",Parsed!$C$2:$C$10,0))=INDEX(Parsed!$H$2:$H$190,(MATCH(A43,Data!$B$2:$B$22,0)-1)*9+MATCH("Past",Parsed!$C$2:$C$10,0)),INDEX(Parsed!$M$2:$M$190,(MATCH(B43,Data!$B$2:$B$22,0)-1)*9+MATCH("Past",Parsed!$C$2:$C$10,0))*INDEX(Parsed!$I$2:$I$190,(MATCH(A43,Data!$B$2:$B$22,0)-1)*9+MATCH("Past",Parsed!$C$2:$C$10,0)),0)+IF(INDEX(Parsed!$K$2:$K$190,(MATCH(B43,Data!$B$2:$B$22,0)-1)*9+MATCH("D/S",Parsed!$C$2:$C$10,0))=INDEX(Parsed!$H$2:$H$190,(MATCH(A43,Data!$B$2:$B$22,0)-1)*9+MATCH("D/S",Parsed!$C$2:$C$10,0)),INDEX(Parsed!$M$2:$M$190,(MATCH(B43,Data!$B$2:$B$22,0)-1)*9+MATCH("D/S",Parsed!$C$2:$C$10,0))*INDEX(Parsed!$I$2:$I$190,(MATCH(A43,Data!$B$2:$B$22,0)-1)*9+MATCH("D/S",Parsed!$C$2:$C$10,0)),0)+IF(INDEX(Parsed!$K$2:$K$190,(MATCH(B43,Data!$B$2:$B$22,0)-1)*9+MATCH("True/kind",Parsed!$C$2:$C$10,0))=INDEX(Parsed!$H$2:$H$190,(MATCH(A43,Data!$B$2:$B$22,0)-1)*9+MATCH("True/kind",Parsed!$C$2:$C$10,0)),INDEX(Parsed!$M$2:$M$190,(MATCH(B43,Data!$B$2:$B$22,0)-1)*9+MATCH("True/kind",Parsed!$C$2:$C$10,0))*INDEX(Parsed!$I$2:$I$190,(MATCH(A43,Data!$B$2:$B$22,0)-1)*9+MATCH("True/kind",Parsed!$C$2:$C$10,0)),0)+IF(INDEX(Parsed!$K$2:$K$190,(MATCH(B43,Data!$B$2:$B$22,0)-1)*9+MATCH("Animal",Parsed!$C$2:$C$10,0))=INDEX(Parsed!$H$2:$H$190,(MATCH(A43,Data!$B$2:$B$22,0)-1)*9+MATCH("Animal",Parsed!$C$2:$C$10,0)),INDEX(Parsed!$M$2:$M$190,(MATCH(B43,Data!$B$2:$B$22,0)-1)*9+MATCH("Animal",Parsed!$C$2:$C$10,0))*INDEX(Parsed!$I$2:$I$190,(MATCH(A43,Data!$B$2:$B$22,0)-1)*9+MATCH("Animal",Parsed!$C$2:$C$10,0)),0),0)</x:f>
        <x:v>43.75</x:v>
      </x:c>
      <x:c r="D43" s="11" t="n">
        <x:f>IFERROR(IF(INDEX(Parsed!$K$2:$K$190,(MATCH(A43,Data!$B$2:$B$22,0)-1)*9+MATCH("God",Parsed!$C$2:$C$10,0))=INDEX(Parsed!$H$2:$H$190,(MATCH(B43,Data!$B$2:$B$22,0)-1)*9+MATCH("God",Parsed!$C$2:$C$10,0)),INDEX(Parsed!$M$2:$M$190,(MATCH(A43,Data!$B$2:$B$22,0)-1)*9+MATCH("God",Parsed!$C$2:$C$10,0))*INDEX(Parsed!$I$2:$I$190,(MATCH(B43,Data!$B$2:$B$22,0)-1)*9+MATCH("God",Parsed!$C$2:$C$10,0)),0)+IF(INDEX(Parsed!$K$2:$K$190,(MATCH(A43,Data!$B$2:$B$22,0)-1)*9+MATCH("Politics",Parsed!$C$2:$C$10,0))=INDEX(Parsed!$H$2:$H$190,(MATCH(B43,Data!$B$2:$B$22,0)-1)*9+MATCH("Politics",Parsed!$C$2:$C$10,0)),INDEX(Parsed!$M$2:$M$190,(MATCH(A43,Data!$B$2:$B$22,0)-1)*9+MATCH("Politics",Parsed!$C$2:$C$10,0))*INDEX(Parsed!$I$2:$I$190,(MATCH(B43,Data!$B$2:$B$22,0)-1)*9+MATCH("Politics",Parsed!$C$2:$C$10,0)),0)+IF(INDEX(Parsed!$K$2:$K$190,(MATCH(A43,Data!$B$2:$B$22,0)-1)*9+MATCH("Marriage",Parsed!$C$2:$C$10,0))=INDEX(Parsed!$H$2:$H$190,(MATCH(B43,Data!$B$2:$B$22,0)-1)*9+MATCH("Marriage",Parsed!$C$2:$C$10,0)),INDEX(Parsed!$M$2:$M$190,(MATCH(A43,Data!$B$2:$B$22,0)-1)*9+MATCH("Marriage",Parsed!$C$2:$C$10,0))*INDEX(Parsed!$I$2:$I$190,(MATCH(B43,Data!$B$2:$B$22,0)-1)*9+MATCH("Marriage",Parsed!$C$2:$C$10,0)),0)+IF(INDEX(Parsed!$K$2:$K$190,(MATCH(A43,Data!$B$2:$B$22,0)-1)*9+MATCH("Children",Parsed!$C$2:$C$10,0))=INDEX(Parsed!$H$2:$H$190,(MATCH(B43,Data!$B$2:$B$22,0)-1)*9+MATCH("Children",Parsed!$C$2:$C$10,0)),INDEX(Parsed!$M$2:$M$190,(MATCH(A43,Data!$B$2:$B$22,0)-1)*9+MATCH("Children",Parsed!$C$2:$C$10,0))*INDEX(Parsed!$I$2:$I$190,(MATCH(B43,Data!$B$2:$B$22,0)-1)*9+MATCH("Children",Parsed!$C$2:$C$10,0)),0)+IF(INDEX(Parsed!$K$2:$K$190,(MATCH(A43,Data!$B$2:$B$22,0)-1)*9+MATCH("Ethicity",Parsed!$C$2:$C$10,0))=INDEX(Parsed!$H$2:$H$190,(MATCH(B43,Data!$B$2:$B$22,0)-1)*9+MATCH("Ethicity",Parsed!$C$2:$C$10,0)),INDEX(Parsed!$M$2:$M$190,(MATCH(A43,Data!$B$2:$B$22,0)-1)*9+MATCH("Ethicity",Parsed!$C$2:$C$10,0))*INDEX(Parsed!$I$2:$I$190,(MATCH(B43,Data!$B$2:$B$22,0)-1)*9+MATCH("Ethicity",Parsed!$C$2:$C$10,0)),0)+IF(INDEX(Parsed!$K$2:$K$190,(MATCH(A43,Data!$B$2:$B$22,0)-1)*9+MATCH("Past",Parsed!$C$2:$C$10,0))=INDEX(Parsed!$H$2:$H$190,(MATCH(B43,Data!$B$2:$B$22,0)-1)*9+MATCH("Past",Parsed!$C$2:$C$10,0)),INDEX(Parsed!$M$2:$M$190,(MATCH(A43,Data!$B$2:$B$22,0)-1)*9+MATCH("Past",Parsed!$C$2:$C$10,0))*INDEX(Parsed!$I$2:$I$190,(MATCH(B43,Data!$B$2:$B$22,0)-1)*9+MATCH("Past",Parsed!$C$2:$C$10,0)),0)+IF(INDEX(Parsed!$K$2:$K$190,(MATCH(A43,Data!$B$2:$B$22,0)-1)*9+MATCH("D/S",Parsed!$C$2:$C$10,0))=INDEX(Parsed!$H$2:$H$190,(MATCH(B43,Data!$B$2:$B$22,0)-1)*9+MATCH("D/S",Parsed!$C$2:$C$10,0)),INDEX(Parsed!$M$2:$M$190,(MATCH(A43,Data!$B$2:$B$22,0)-1)*9+MATCH("D/S",Parsed!$C$2:$C$10,0))*INDEX(Parsed!$I$2:$I$190,(MATCH(B43,Data!$B$2:$B$22,0)-1)*9+MATCH("D/S",Parsed!$C$2:$C$10,0)),0)+IF(INDEX(Parsed!$K$2:$K$190,(MATCH(A43,Data!$B$2:$B$22,0)-1)*9+MATCH("True/kind",Parsed!$C$2:$C$10,0))=INDEX(Parsed!$H$2:$H$190,(MATCH(B43,Data!$B$2:$B$22,0)-1)*9+MATCH("True/kind",Parsed!$C$2:$C$10,0)),INDEX(Parsed!$M$2:$M$190,(MATCH(A43,Data!$B$2:$B$22,0)-1)*9+MATCH("True/kind",Parsed!$C$2:$C$10,0))*INDEX(Parsed!$I$2:$I$190,(MATCH(B43,Data!$B$2:$B$22,0)-1)*9+MATCH("True/kind",Parsed!$C$2:$C$10,0)),0)+IF(INDEX(Parsed!$K$2:$K$190,(MATCH(A43,Data!$B$2:$B$22,0)-1)*9+MATCH("Animal",Parsed!$C$2:$C$10,0))=INDEX(Parsed!$H$2:$H$190,(MATCH(B43,Data!$B$2:$B$22,0)-1)*9+MATCH("Animal",Parsed!$C$2:$C$10,0)),INDEX(Parsed!$M$2:$M$190,(MATCH(A43,Data!$B$2:$B$22,0)-1)*9+MATCH("Animal",Parsed!$C$2:$C$10,0))*INDEX(Parsed!$I$2:$I$190,(MATCH(B43,Data!$B$2:$B$22,0)-1)*9+MATCH("Animal",Parsed!$C$2:$C$10,0)),0),0)</x:f>
        <x:v>58.75</x:v>
      </x:c>
      <x:c r="E43" s="11" t="n">
        <x:f>SQRT(C43*D43)</x:f>
        <x:v>50.69824947668312</x:v>
      </x:c>
    </x:row>
    <x:row r="44">
      <x:c r="A44" t="str">
        <x:v>lawrence</x:v>
      </x:c>
      <x:c r="B44" t="str">
        <x:v>jasmine</x:v>
      </x:c>
      <x:c r="C44" s="11" t="n">
        <x:f>IFERROR(IF(INDEX(Parsed!$K$2:$K$190,(MATCH(B44,Data!$B$2:$B$22,0)-1)*9+MATCH("God",Parsed!$C$2:$C$10,0))=INDEX(Parsed!$H$2:$H$190,(MATCH(A44,Data!$B$2:$B$22,0)-1)*9+MATCH("God",Parsed!$C$2:$C$10,0)),INDEX(Parsed!$M$2:$M$190,(MATCH(B44,Data!$B$2:$B$22,0)-1)*9+MATCH("God",Parsed!$C$2:$C$10,0))*INDEX(Parsed!$I$2:$I$190,(MATCH(A44,Data!$B$2:$B$22,0)-1)*9+MATCH("God",Parsed!$C$2:$C$10,0)),0)+IF(INDEX(Parsed!$K$2:$K$190,(MATCH(B44,Data!$B$2:$B$22,0)-1)*9+MATCH("Politics",Parsed!$C$2:$C$10,0))=INDEX(Parsed!$H$2:$H$190,(MATCH(A44,Data!$B$2:$B$22,0)-1)*9+MATCH("Politics",Parsed!$C$2:$C$10,0)),INDEX(Parsed!$M$2:$M$190,(MATCH(B44,Data!$B$2:$B$22,0)-1)*9+MATCH("Politics",Parsed!$C$2:$C$10,0))*INDEX(Parsed!$I$2:$I$190,(MATCH(A44,Data!$B$2:$B$22,0)-1)*9+MATCH("Politics",Parsed!$C$2:$C$10,0)),0)+IF(INDEX(Parsed!$K$2:$K$190,(MATCH(B44,Data!$B$2:$B$22,0)-1)*9+MATCH("Marriage",Parsed!$C$2:$C$10,0))=INDEX(Parsed!$H$2:$H$190,(MATCH(A44,Data!$B$2:$B$22,0)-1)*9+MATCH("Marriage",Parsed!$C$2:$C$10,0)),INDEX(Parsed!$M$2:$M$190,(MATCH(B44,Data!$B$2:$B$22,0)-1)*9+MATCH("Marriage",Parsed!$C$2:$C$10,0))*INDEX(Parsed!$I$2:$I$190,(MATCH(A44,Data!$B$2:$B$22,0)-1)*9+MATCH("Marriage",Parsed!$C$2:$C$10,0)),0)+IF(INDEX(Parsed!$K$2:$K$190,(MATCH(B44,Data!$B$2:$B$22,0)-1)*9+MATCH("Children",Parsed!$C$2:$C$10,0))=INDEX(Parsed!$H$2:$H$190,(MATCH(A44,Data!$B$2:$B$22,0)-1)*9+MATCH("Children",Parsed!$C$2:$C$10,0)),INDEX(Parsed!$M$2:$M$190,(MATCH(B44,Data!$B$2:$B$22,0)-1)*9+MATCH("Children",Parsed!$C$2:$C$10,0))*INDEX(Parsed!$I$2:$I$190,(MATCH(A44,Data!$B$2:$B$22,0)-1)*9+MATCH("Children",Parsed!$C$2:$C$10,0)),0)+IF(INDEX(Parsed!$K$2:$K$190,(MATCH(B44,Data!$B$2:$B$22,0)-1)*9+MATCH("Ethicity",Parsed!$C$2:$C$10,0))=INDEX(Parsed!$H$2:$H$190,(MATCH(A44,Data!$B$2:$B$22,0)-1)*9+MATCH("Ethicity",Parsed!$C$2:$C$10,0)),INDEX(Parsed!$M$2:$M$190,(MATCH(B44,Data!$B$2:$B$22,0)-1)*9+MATCH("Ethicity",Parsed!$C$2:$C$10,0))*INDEX(Parsed!$I$2:$I$190,(MATCH(A44,Data!$B$2:$B$22,0)-1)*9+MATCH("Ethicity",Parsed!$C$2:$C$10,0)),0)+IF(INDEX(Parsed!$K$2:$K$190,(MATCH(B44,Data!$B$2:$B$22,0)-1)*9+MATCH("Past",Parsed!$C$2:$C$10,0))=INDEX(Parsed!$H$2:$H$190,(MATCH(A44,Data!$B$2:$B$22,0)-1)*9+MATCH("Past",Parsed!$C$2:$C$10,0)),INDEX(Parsed!$M$2:$M$190,(MATCH(B44,Data!$B$2:$B$22,0)-1)*9+MATCH("Past",Parsed!$C$2:$C$10,0))*INDEX(Parsed!$I$2:$I$190,(MATCH(A44,Data!$B$2:$B$22,0)-1)*9+MATCH("Past",Parsed!$C$2:$C$10,0)),0)+IF(INDEX(Parsed!$K$2:$K$190,(MATCH(B44,Data!$B$2:$B$22,0)-1)*9+MATCH("D/S",Parsed!$C$2:$C$10,0))=INDEX(Parsed!$H$2:$H$190,(MATCH(A44,Data!$B$2:$B$22,0)-1)*9+MATCH("D/S",Parsed!$C$2:$C$10,0)),INDEX(Parsed!$M$2:$M$190,(MATCH(B44,Data!$B$2:$B$22,0)-1)*9+MATCH("D/S",Parsed!$C$2:$C$10,0))*INDEX(Parsed!$I$2:$I$190,(MATCH(A44,Data!$B$2:$B$22,0)-1)*9+MATCH("D/S",Parsed!$C$2:$C$10,0)),0)+IF(INDEX(Parsed!$K$2:$K$190,(MATCH(B44,Data!$B$2:$B$22,0)-1)*9+MATCH("True/kind",Parsed!$C$2:$C$10,0))=INDEX(Parsed!$H$2:$H$190,(MATCH(A44,Data!$B$2:$B$22,0)-1)*9+MATCH("True/kind",Parsed!$C$2:$C$10,0)),INDEX(Parsed!$M$2:$M$190,(MATCH(B44,Data!$B$2:$B$22,0)-1)*9+MATCH("True/kind",Parsed!$C$2:$C$10,0))*INDEX(Parsed!$I$2:$I$190,(MATCH(A44,Data!$B$2:$B$22,0)-1)*9+MATCH("True/kind",Parsed!$C$2:$C$10,0)),0)+IF(INDEX(Parsed!$K$2:$K$190,(MATCH(B44,Data!$B$2:$B$22,0)-1)*9+MATCH("Animal",Parsed!$C$2:$C$10,0))=INDEX(Parsed!$H$2:$H$190,(MATCH(A44,Data!$B$2:$B$22,0)-1)*9+MATCH("Animal",Parsed!$C$2:$C$10,0)),INDEX(Parsed!$M$2:$M$190,(MATCH(B44,Data!$B$2:$B$22,0)-1)*9+MATCH("Animal",Parsed!$C$2:$C$10,0))*INDEX(Parsed!$I$2:$I$190,(MATCH(A44,Data!$B$2:$B$22,0)-1)*9+MATCH("Animal",Parsed!$C$2:$C$10,0)),0),0)</x:f>
        <x:v>33.75</x:v>
      </x:c>
      <x:c r="D44" s="11" t="n">
        <x:f>IFERROR(IF(INDEX(Parsed!$K$2:$K$190,(MATCH(A44,Data!$B$2:$B$22,0)-1)*9+MATCH("God",Parsed!$C$2:$C$10,0))=INDEX(Parsed!$H$2:$H$190,(MATCH(B44,Data!$B$2:$B$22,0)-1)*9+MATCH("God",Parsed!$C$2:$C$10,0)),INDEX(Parsed!$M$2:$M$190,(MATCH(A44,Data!$B$2:$B$22,0)-1)*9+MATCH("God",Parsed!$C$2:$C$10,0))*INDEX(Parsed!$I$2:$I$190,(MATCH(B44,Data!$B$2:$B$22,0)-1)*9+MATCH("God",Parsed!$C$2:$C$10,0)),0)+IF(INDEX(Parsed!$K$2:$K$190,(MATCH(A44,Data!$B$2:$B$22,0)-1)*9+MATCH("Politics",Parsed!$C$2:$C$10,0))=INDEX(Parsed!$H$2:$H$190,(MATCH(B44,Data!$B$2:$B$22,0)-1)*9+MATCH("Politics",Parsed!$C$2:$C$10,0)),INDEX(Parsed!$M$2:$M$190,(MATCH(A44,Data!$B$2:$B$22,0)-1)*9+MATCH("Politics",Parsed!$C$2:$C$10,0))*INDEX(Parsed!$I$2:$I$190,(MATCH(B44,Data!$B$2:$B$22,0)-1)*9+MATCH("Politics",Parsed!$C$2:$C$10,0)),0)+IF(INDEX(Parsed!$K$2:$K$190,(MATCH(A44,Data!$B$2:$B$22,0)-1)*9+MATCH("Marriage",Parsed!$C$2:$C$10,0))=INDEX(Parsed!$H$2:$H$190,(MATCH(B44,Data!$B$2:$B$22,0)-1)*9+MATCH("Marriage",Parsed!$C$2:$C$10,0)),INDEX(Parsed!$M$2:$M$190,(MATCH(A44,Data!$B$2:$B$22,0)-1)*9+MATCH("Marriage",Parsed!$C$2:$C$10,0))*INDEX(Parsed!$I$2:$I$190,(MATCH(B44,Data!$B$2:$B$22,0)-1)*9+MATCH("Marriage",Parsed!$C$2:$C$10,0)),0)+IF(INDEX(Parsed!$K$2:$K$190,(MATCH(A44,Data!$B$2:$B$22,0)-1)*9+MATCH("Children",Parsed!$C$2:$C$10,0))=INDEX(Parsed!$H$2:$H$190,(MATCH(B44,Data!$B$2:$B$22,0)-1)*9+MATCH("Children",Parsed!$C$2:$C$10,0)),INDEX(Parsed!$M$2:$M$190,(MATCH(A44,Data!$B$2:$B$22,0)-1)*9+MATCH("Children",Parsed!$C$2:$C$10,0))*INDEX(Parsed!$I$2:$I$190,(MATCH(B44,Data!$B$2:$B$22,0)-1)*9+MATCH("Children",Parsed!$C$2:$C$10,0)),0)+IF(INDEX(Parsed!$K$2:$K$190,(MATCH(A44,Data!$B$2:$B$22,0)-1)*9+MATCH("Ethicity",Parsed!$C$2:$C$10,0))=INDEX(Parsed!$H$2:$H$190,(MATCH(B44,Data!$B$2:$B$22,0)-1)*9+MATCH("Ethicity",Parsed!$C$2:$C$10,0)),INDEX(Parsed!$M$2:$M$190,(MATCH(A44,Data!$B$2:$B$22,0)-1)*9+MATCH("Ethicity",Parsed!$C$2:$C$10,0))*INDEX(Parsed!$I$2:$I$190,(MATCH(B44,Data!$B$2:$B$22,0)-1)*9+MATCH("Ethicity",Parsed!$C$2:$C$10,0)),0)+IF(INDEX(Parsed!$K$2:$K$190,(MATCH(A44,Data!$B$2:$B$22,0)-1)*9+MATCH("Past",Parsed!$C$2:$C$10,0))=INDEX(Parsed!$H$2:$H$190,(MATCH(B44,Data!$B$2:$B$22,0)-1)*9+MATCH("Past",Parsed!$C$2:$C$10,0)),INDEX(Parsed!$M$2:$M$190,(MATCH(A44,Data!$B$2:$B$22,0)-1)*9+MATCH("Past",Parsed!$C$2:$C$10,0))*INDEX(Parsed!$I$2:$I$190,(MATCH(B44,Data!$B$2:$B$22,0)-1)*9+MATCH("Past",Parsed!$C$2:$C$10,0)),0)+IF(INDEX(Parsed!$K$2:$K$190,(MATCH(A44,Data!$B$2:$B$22,0)-1)*9+MATCH("D/S",Parsed!$C$2:$C$10,0))=INDEX(Parsed!$H$2:$H$190,(MATCH(B44,Data!$B$2:$B$22,0)-1)*9+MATCH("D/S",Parsed!$C$2:$C$10,0)),INDEX(Parsed!$M$2:$M$190,(MATCH(A44,Data!$B$2:$B$22,0)-1)*9+MATCH("D/S",Parsed!$C$2:$C$10,0))*INDEX(Parsed!$I$2:$I$190,(MATCH(B44,Data!$B$2:$B$22,0)-1)*9+MATCH("D/S",Parsed!$C$2:$C$10,0)),0)+IF(INDEX(Parsed!$K$2:$K$190,(MATCH(A44,Data!$B$2:$B$22,0)-1)*9+MATCH("True/kind",Parsed!$C$2:$C$10,0))=INDEX(Parsed!$H$2:$H$190,(MATCH(B44,Data!$B$2:$B$22,0)-1)*9+MATCH("True/kind",Parsed!$C$2:$C$10,0)),INDEX(Parsed!$M$2:$M$190,(MATCH(A44,Data!$B$2:$B$22,0)-1)*9+MATCH("True/kind",Parsed!$C$2:$C$10,0))*INDEX(Parsed!$I$2:$I$190,(MATCH(B44,Data!$B$2:$B$22,0)-1)*9+MATCH("True/kind",Parsed!$C$2:$C$10,0)),0)+IF(INDEX(Parsed!$K$2:$K$190,(MATCH(A44,Data!$B$2:$B$22,0)-1)*9+MATCH("Animal",Parsed!$C$2:$C$10,0))=INDEX(Parsed!$H$2:$H$190,(MATCH(B44,Data!$B$2:$B$22,0)-1)*9+MATCH("Animal",Parsed!$C$2:$C$10,0)),INDEX(Parsed!$M$2:$M$190,(MATCH(A44,Data!$B$2:$B$22,0)-1)*9+MATCH("Animal",Parsed!$C$2:$C$10,0))*INDEX(Parsed!$I$2:$I$190,(MATCH(B44,Data!$B$2:$B$22,0)-1)*9+MATCH("Animal",Parsed!$C$2:$C$10,0)),0),0)</x:f>
        <x:v>67.5</x:v>
      </x:c>
      <x:c r="E44" s="11" t="n">
        <x:f>SQRT(C44*D44)</x:f>
        <x:v>47.72970773009196</x:v>
      </x:c>
    </x:row>
    <x:row r="45">
      <x:c r="A45" t="str">
        <x:v>lawrence</x:v>
      </x:c>
      <x:c r="B45" t="str">
        <x:v>cathleen</x:v>
      </x:c>
      <x:c r="C45" s="11" t="n">
        <x:f>IFERROR(IF(INDEX(Parsed!$K$2:$K$190,(MATCH(B45,Data!$B$2:$B$22,0)-1)*9+MATCH("God",Parsed!$C$2:$C$10,0))=INDEX(Parsed!$H$2:$H$190,(MATCH(A45,Data!$B$2:$B$22,0)-1)*9+MATCH("God",Parsed!$C$2:$C$10,0)),INDEX(Parsed!$M$2:$M$190,(MATCH(B45,Data!$B$2:$B$22,0)-1)*9+MATCH("God",Parsed!$C$2:$C$10,0))*INDEX(Parsed!$I$2:$I$190,(MATCH(A45,Data!$B$2:$B$22,0)-1)*9+MATCH("God",Parsed!$C$2:$C$10,0)),0)+IF(INDEX(Parsed!$K$2:$K$190,(MATCH(B45,Data!$B$2:$B$22,0)-1)*9+MATCH("Politics",Parsed!$C$2:$C$10,0))=INDEX(Parsed!$H$2:$H$190,(MATCH(A45,Data!$B$2:$B$22,0)-1)*9+MATCH("Politics",Parsed!$C$2:$C$10,0)),INDEX(Parsed!$M$2:$M$190,(MATCH(B45,Data!$B$2:$B$22,0)-1)*9+MATCH("Politics",Parsed!$C$2:$C$10,0))*INDEX(Parsed!$I$2:$I$190,(MATCH(A45,Data!$B$2:$B$22,0)-1)*9+MATCH("Politics",Parsed!$C$2:$C$10,0)),0)+IF(INDEX(Parsed!$K$2:$K$190,(MATCH(B45,Data!$B$2:$B$22,0)-1)*9+MATCH("Marriage",Parsed!$C$2:$C$10,0))=INDEX(Parsed!$H$2:$H$190,(MATCH(A45,Data!$B$2:$B$22,0)-1)*9+MATCH("Marriage",Parsed!$C$2:$C$10,0)),INDEX(Parsed!$M$2:$M$190,(MATCH(B45,Data!$B$2:$B$22,0)-1)*9+MATCH("Marriage",Parsed!$C$2:$C$10,0))*INDEX(Parsed!$I$2:$I$190,(MATCH(A45,Data!$B$2:$B$22,0)-1)*9+MATCH("Marriage",Parsed!$C$2:$C$10,0)),0)+IF(INDEX(Parsed!$K$2:$K$190,(MATCH(B45,Data!$B$2:$B$22,0)-1)*9+MATCH("Children",Parsed!$C$2:$C$10,0))=INDEX(Parsed!$H$2:$H$190,(MATCH(A45,Data!$B$2:$B$22,0)-1)*9+MATCH("Children",Parsed!$C$2:$C$10,0)),INDEX(Parsed!$M$2:$M$190,(MATCH(B45,Data!$B$2:$B$22,0)-1)*9+MATCH("Children",Parsed!$C$2:$C$10,0))*INDEX(Parsed!$I$2:$I$190,(MATCH(A45,Data!$B$2:$B$22,0)-1)*9+MATCH("Children",Parsed!$C$2:$C$10,0)),0)+IF(INDEX(Parsed!$K$2:$K$190,(MATCH(B45,Data!$B$2:$B$22,0)-1)*9+MATCH("Ethicity",Parsed!$C$2:$C$10,0))=INDEX(Parsed!$H$2:$H$190,(MATCH(A45,Data!$B$2:$B$22,0)-1)*9+MATCH("Ethicity",Parsed!$C$2:$C$10,0)),INDEX(Parsed!$M$2:$M$190,(MATCH(B45,Data!$B$2:$B$22,0)-1)*9+MATCH("Ethicity",Parsed!$C$2:$C$10,0))*INDEX(Parsed!$I$2:$I$190,(MATCH(A45,Data!$B$2:$B$22,0)-1)*9+MATCH("Ethicity",Parsed!$C$2:$C$10,0)),0)+IF(INDEX(Parsed!$K$2:$K$190,(MATCH(B45,Data!$B$2:$B$22,0)-1)*9+MATCH("Past",Parsed!$C$2:$C$10,0))=INDEX(Parsed!$H$2:$H$190,(MATCH(A45,Data!$B$2:$B$22,0)-1)*9+MATCH("Past",Parsed!$C$2:$C$10,0)),INDEX(Parsed!$M$2:$M$190,(MATCH(B45,Data!$B$2:$B$22,0)-1)*9+MATCH("Past",Parsed!$C$2:$C$10,0))*INDEX(Parsed!$I$2:$I$190,(MATCH(A45,Data!$B$2:$B$22,0)-1)*9+MATCH("Past",Parsed!$C$2:$C$10,0)),0)+IF(INDEX(Parsed!$K$2:$K$190,(MATCH(B45,Data!$B$2:$B$22,0)-1)*9+MATCH("D/S",Parsed!$C$2:$C$10,0))=INDEX(Parsed!$H$2:$H$190,(MATCH(A45,Data!$B$2:$B$22,0)-1)*9+MATCH("D/S",Parsed!$C$2:$C$10,0)),INDEX(Parsed!$M$2:$M$190,(MATCH(B45,Data!$B$2:$B$22,0)-1)*9+MATCH("D/S",Parsed!$C$2:$C$10,0))*INDEX(Parsed!$I$2:$I$190,(MATCH(A45,Data!$B$2:$B$22,0)-1)*9+MATCH("D/S",Parsed!$C$2:$C$10,0)),0)+IF(INDEX(Parsed!$K$2:$K$190,(MATCH(B45,Data!$B$2:$B$22,0)-1)*9+MATCH("True/kind",Parsed!$C$2:$C$10,0))=INDEX(Parsed!$H$2:$H$190,(MATCH(A45,Data!$B$2:$B$22,0)-1)*9+MATCH("True/kind",Parsed!$C$2:$C$10,0)),INDEX(Parsed!$M$2:$M$190,(MATCH(B45,Data!$B$2:$B$22,0)-1)*9+MATCH("True/kind",Parsed!$C$2:$C$10,0))*INDEX(Parsed!$I$2:$I$190,(MATCH(A45,Data!$B$2:$B$22,0)-1)*9+MATCH("True/kind",Parsed!$C$2:$C$10,0)),0)+IF(INDEX(Parsed!$K$2:$K$190,(MATCH(B45,Data!$B$2:$B$22,0)-1)*9+MATCH("Animal",Parsed!$C$2:$C$10,0))=INDEX(Parsed!$H$2:$H$190,(MATCH(A45,Data!$B$2:$B$22,0)-1)*9+MATCH("Animal",Parsed!$C$2:$C$10,0)),INDEX(Parsed!$M$2:$M$190,(MATCH(B45,Data!$B$2:$B$22,0)-1)*9+MATCH("Animal",Parsed!$C$2:$C$10,0))*INDEX(Parsed!$I$2:$I$190,(MATCH(A45,Data!$B$2:$B$22,0)-1)*9+MATCH("Animal",Parsed!$C$2:$C$10,0)),0),0)</x:f>
        <x:v>28.75</x:v>
      </x:c>
      <x:c r="D45" s="11" t="n">
        <x:f>IFERROR(IF(INDEX(Parsed!$K$2:$K$190,(MATCH(A45,Data!$B$2:$B$22,0)-1)*9+MATCH("God",Parsed!$C$2:$C$10,0))=INDEX(Parsed!$H$2:$H$190,(MATCH(B45,Data!$B$2:$B$22,0)-1)*9+MATCH("God",Parsed!$C$2:$C$10,0)),INDEX(Parsed!$M$2:$M$190,(MATCH(A45,Data!$B$2:$B$22,0)-1)*9+MATCH("God",Parsed!$C$2:$C$10,0))*INDEX(Parsed!$I$2:$I$190,(MATCH(B45,Data!$B$2:$B$22,0)-1)*9+MATCH("God",Parsed!$C$2:$C$10,0)),0)+IF(INDEX(Parsed!$K$2:$K$190,(MATCH(A45,Data!$B$2:$B$22,0)-1)*9+MATCH("Politics",Parsed!$C$2:$C$10,0))=INDEX(Parsed!$H$2:$H$190,(MATCH(B45,Data!$B$2:$B$22,0)-1)*9+MATCH("Politics",Parsed!$C$2:$C$10,0)),INDEX(Parsed!$M$2:$M$190,(MATCH(A45,Data!$B$2:$B$22,0)-1)*9+MATCH("Politics",Parsed!$C$2:$C$10,0))*INDEX(Parsed!$I$2:$I$190,(MATCH(B45,Data!$B$2:$B$22,0)-1)*9+MATCH("Politics",Parsed!$C$2:$C$10,0)),0)+IF(INDEX(Parsed!$K$2:$K$190,(MATCH(A45,Data!$B$2:$B$22,0)-1)*9+MATCH("Marriage",Parsed!$C$2:$C$10,0))=INDEX(Parsed!$H$2:$H$190,(MATCH(B45,Data!$B$2:$B$22,0)-1)*9+MATCH("Marriage",Parsed!$C$2:$C$10,0)),INDEX(Parsed!$M$2:$M$190,(MATCH(A45,Data!$B$2:$B$22,0)-1)*9+MATCH("Marriage",Parsed!$C$2:$C$10,0))*INDEX(Parsed!$I$2:$I$190,(MATCH(B45,Data!$B$2:$B$22,0)-1)*9+MATCH("Marriage",Parsed!$C$2:$C$10,0)),0)+IF(INDEX(Parsed!$K$2:$K$190,(MATCH(A45,Data!$B$2:$B$22,0)-1)*9+MATCH("Children",Parsed!$C$2:$C$10,0))=INDEX(Parsed!$H$2:$H$190,(MATCH(B45,Data!$B$2:$B$22,0)-1)*9+MATCH("Children",Parsed!$C$2:$C$10,0)),INDEX(Parsed!$M$2:$M$190,(MATCH(A45,Data!$B$2:$B$22,0)-1)*9+MATCH("Children",Parsed!$C$2:$C$10,0))*INDEX(Parsed!$I$2:$I$190,(MATCH(B45,Data!$B$2:$B$22,0)-1)*9+MATCH("Children",Parsed!$C$2:$C$10,0)),0)+IF(INDEX(Parsed!$K$2:$K$190,(MATCH(A45,Data!$B$2:$B$22,0)-1)*9+MATCH("Ethicity",Parsed!$C$2:$C$10,0))=INDEX(Parsed!$H$2:$H$190,(MATCH(B45,Data!$B$2:$B$22,0)-1)*9+MATCH("Ethicity",Parsed!$C$2:$C$10,0)),INDEX(Parsed!$M$2:$M$190,(MATCH(A45,Data!$B$2:$B$22,0)-1)*9+MATCH("Ethicity",Parsed!$C$2:$C$10,0))*INDEX(Parsed!$I$2:$I$190,(MATCH(B45,Data!$B$2:$B$22,0)-1)*9+MATCH("Ethicity",Parsed!$C$2:$C$10,0)),0)+IF(INDEX(Parsed!$K$2:$K$190,(MATCH(A45,Data!$B$2:$B$22,0)-1)*9+MATCH("Past",Parsed!$C$2:$C$10,0))=INDEX(Parsed!$H$2:$H$190,(MATCH(B45,Data!$B$2:$B$22,0)-1)*9+MATCH("Past",Parsed!$C$2:$C$10,0)),INDEX(Parsed!$M$2:$M$190,(MATCH(A45,Data!$B$2:$B$22,0)-1)*9+MATCH("Past",Parsed!$C$2:$C$10,0))*INDEX(Parsed!$I$2:$I$190,(MATCH(B45,Data!$B$2:$B$22,0)-1)*9+MATCH("Past",Parsed!$C$2:$C$10,0)),0)+IF(INDEX(Parsed!$K$2:$K$190,(MATCH(A45,Data!$B$2:$B$22,0)-1)*9+MATCH("D/S",Parsed!$C$2:$C$10,0))=INDEX(Parsed!$H$2:$H$190,(MATCH(B45,Data!$B$2:$B$22,0)-1)*9+MATCH("D/S",Parsed!$C$2:$C$10,0)),INDEX(Parsed!$M$2:$M$190,(MATCH(A45,Data!$B$2:$B$22,0)-1)*9+MATCH("D/S",Parsed!$C$2:$C$10,0))*INDEX(Parsed!$I$2:$I$190,(MATCH(B45,Data!$B$2:$B$22,0)-1)*9+MATCH("D/S",Parsed!$C$2:$C$10,0)),0)+IF(INDEX(Parsed!$K$2:$K$190,(MATCH(A45,Data!$B$2:$B$22,0)-1)*9+MATCH("True/kind",Parsed!$C$2:$C$10,0))=INDEX(Parsed!$H$2:$H$190,(MATCH(B45,Data!$B$2:$B$22,0)-1)*9+MATCH("True/kind",Parsed!$C$2:$C$10,0)),INDEX(Parsed!$M$2:$M$190,(MATCH(A45,Data!$B$2:$B$22,0)-1)*9+MATCH("True/kind",Parsed!$C$2:$C$10,0))*INDEX(Parsed!$I$2:$I$190,(MATCH(B45,Data!$B$2:$B$22,0)-1)*9+MATCH("True/kind",Parsed!$C$2:$C$10,0)),0)+IF(INDEX(Parsed!$K$2:$K$190,(MATCH(A45,Data!$B$2:$B$22,0)-1)*9+MATCH("Animal",Parsed!$C$2:$C$10,0))=INDEX(Parsed!$H$2:$H$190,(MATCH(B45,Data!$B$2:$B$22,0)-1)*9+MATCH("Animal",Parsed!$C$2:$C$10,0)),INDEX(Parsed!$M$2:$M$190,(MATCH(A45,Data!$B$2:$B$22,0)-1)*9+MATCH("Animal",Parsed!$C$2:$C$10,0))*INDEX(Parsed!$I$2:$I$190,(MATCH(B45,Data!$B$2:$B$22,0)-1)*9+MATCH("Animal",Parsed!$C$2:$C$10,0)),0),0)</x:f>
        <x:v>56.25</x:v>
      </x:c>
      <x:c r="E45" s="11" t="n">
        <x:f>SQRT(C45*D45)</x:f>
        <x:v>40.21426985536353</x:v>
      </x:c>
    </x:row>
    <x:row r="46">
      <x:c r="A46" t="str">
        <x:v>lawrence</x:v>
      </x:c>
      <x:c r="B46" t="str">
        <x:v>edith</x:v>
      </x:c>
      <x:c r="C46" s="11" t="n">
        <x:f>IFERROR(IF(INDEX(Parsed!$K$2:$K$190,(MATCH(B46,Data!$B$2:$B$22,0)-1)*9+MATCH("God",Parsed!$C$2:$C$10,0))=INDEX(Parsed!$H$2:$H$190,(MATCH(A46,Data!$B$2:$B$22,0)-1)*9+MATCH("God",Parsed!$C$2:$C$10,0)),INDEX(Parsed!$M$2:$M$190,(MATCH(B46,Data!$B$2:$B$22,0)-1)*9+MATCH("God",Parsed!$C$2:$C$10,0))*INDEX(Parsed!$I$2:$I$190,(MATCH(A46,Data!$B$2:$B$22,0)-1)*9+MATCH("God",Parsed!$C$2:$C$10,0)),0)+IF(INDEX(Parsed!$K$2:$K$190,(MATCH(B46,Data!$B$2:$B$22,0)-1)*9+MATCH("Politics",Parsed!$C$2:$C$10,0))=INDEX(Parsed!$H$2:$H$190,(MATCH(A46,Data!$B$2:$B$22,0)-1)*9+MATCH("Politics",Parsed!$C$2:$C$10,0)),INDEX(Parsed!$M$2:$M$190,(MATCH(B46,Data!$B$2:$B$22,0)-1)*9+MATCH("Politics",Parsed!$C$2:$C$10,0))*INDEX(Parsed!$I$2:$I$190,(MATCH(A46,Data!$B$2:$B$22,0)-1)*9+MATCH("Politics",Parsed!$C$2:$C$10,0)),0)+IF(INDEX(Parsed!$K$2:$K$190,(MATCH(B46,Data!$B$2:$B$22,0)-1)*9+MATCH("Marriage",Parsed!$C$2:$C$10,0))=INDEX(Parsed!$H$2:$H$190,(MATCH(A46,Data!$B$2:$B$22,0)-1)*9+MATCH("Marriage",Parsed!$C$2:$C$10,0)),INDEX(Parsed!$M$2:$M$190,(MATCH(B46,Data!$B$2:$B$22,0)-1)*9+MATCH("Marriage",Parsed!$C$2:$C$10,0))*INDEX(Parsed!$I$2:$I$190,(MATCH(A46,Data!$B$2:$B$22,0)-1)*9+MATCH("Marriage",Parsed!$C$2:$C$10,0)),0)+IF(INDEX(Parsed!$K$2:$K$190,(MATCH(B46,Data!$B$2:$B$22,0)-1)*9+MATCH("Children",Parsed!$C$2:$C$10,0))=INDEX(Parsed!$H$2:$H$190,(MATCH(A46,Data!$B$2:$B$22,0)-1)*9+MATCH("Children",Parsed!$C$2:$C$10,0)),INDEX(Parsed!$M$2:$M$190,(MATCH(B46,Data!$B$2:$B$22,0)-1)*9+MATCH("Children",Parsed!$C$2:$C$10,0))*INDEX(Parsed!$I$2:$I$190,(MATCH(A46,Data!$B$2:$B$22,0)-1)*9+MATCH("Children",Parsed!$C$2:$C$10,0)),0)+IF(INDEX(Parsed!$K$2:$K$190,(MATCH(B46,Data!$B$2:$B$22,0)-1)*9+MATCH("Ethicity",Parsed!$C$2:$C$10,0))=INDEX(Parsed!$H$2:$H$190,(MATCH(A46,Data!$B$2:$B$22,0)-1)*9+MATCH("Ethicity",Parsed!$C$2:$C$10,0)),INDEX(Parsed!$M$2:$M$190,(MATCH(B46,Data!$B$2:$B$22,0)-1)*9+MATCH("Ethicity",Parsed!$C$2:$C$10,0))*INDEX(Parsed!$I$2:$I$190,(MATCH(A46,Data!$B$2:$B$22,0)-1)*9+MATCH("Ethicity",Parsed!$C$2:$C$10,0)),0)+IF(INDEX(Parsed!$K$2:$K$190,(MATCH(B46,Data!$B$2:$B$22,0)-1)*9+MATCH("Past",Parsed!$C$2:$C$10,0))=INDEX(Parsed!$H$2:$H$190,(MATCH(A46,Data!$B$2:$B$22,0)-1)*9+MATCH("Past",Parsed!$C$2:$C$10,0)),INDEX(Parsed!$M$2:$M$190,(MATCH(B46,Data!$B$2:$B$22,0)-1)*9+MATCH("Past",Parsed!$C$2:$C$10,0))*INDEX(Parsed!$I$2:$I$190,(MATCH(A46,Data!$B$2:$B$22,0)-1)*9+MATCH("Past",Parsed!$C$2:$C$10,0)),0)+IF(INDEX(Parsed!$K$2:$K$190,(MATCH(B46,Data!$B$2:$B$22,0)-1)*9+MATCH("D/S",Parsed!$C$2:$C$10,0))=INDEX(Parsed!$H$2:$H$190,(MATCH(A46,Data!$B$2:$B$22,0)-1)*9+MATCH("D/S",Parsed!$C$2:$C$10,0)),INDEX(Parsed!$M$2:$M$190,(MATCH(B46,Data!$B$2:$B$22,0)-1)*9+MATCH("D/S",Parsed!$C$2:$C$10,0))*INDEX(Parsed!$I$2:$I$190,(MATCH(A46,Data!$B$2:$B$22,0)-1)*9+MATCH("D/S",Parsed!$C$2:$C$10,0)),0)+IF(INDEX(Parsed!$K$2:$K$190,(MATCH(B46,Data!$B$2:$B$22,0)-1)*9+MATCH("True/kind",Parsed!$C$2:$C$10,0))=INDEX(Parsed!$H$2:$H$190,(MATCH(A46,Data!$B$2:$B$22,0)-1)*9+MATCH("True/kind",Parsed!$C$2:$C$10,0)),INDEX(Parsed!$M$2:$M$190,(MATCH(B46,Data!$B$2:$B$22,0)-1)*9+MATCH("True/kind",Parsed!$C$2:$C$10,0))*INDEX(Parsed!$I$2:$I$190,(MATCH(A46,Data!$B$2:$B$22,0)-1)*9+MATCH("True/kind",Parsed!$C$2:$C$10,0)),0)+IF(INDEX(Parsed!$K$2:$K$190,(MATCH(B46,Data!$B$2:$B$22,0)-1)*9+MATCH("Animal",Parsed!$C$2:$C$10,0))=INDEX(Parsed!$H$2:$H$190,(MATCH(A46,Data!$B$2:$B$22,0)-1)*9+MATCH("Animal",Parsed!$C$2:$C$10,0)),INDEX(Parsed!$M$2:$M$190,(MATCH(B46,Data!$B$2:$B$22,0)-1)*9+MATCH("Animal",Parsed!$C$2:$C$10,0))*INDEX(Parsed!$I$2:$I$190,(MATCH(A46,Data!$B$2:$B$22,0)-1)*9+MATCH("Animal",Parsed!$C$2:$C$10,0)),0),0)</x:f>
        <x:v>51.25</x:v>
      </x:c>
      <x:c r="D46" s="11" t="n">
        <x:f>IFERROR(IF(INDEX(Parsed!$K$2:$K$190,(MATCH(A46,Data!$B$2:$B$22,0)-1)*9+MATCH("God",Parsed!$C$2:$C$10,0))=INDEX(Parsed!$H$2:$H$190,(MATCH(B46,Data!$B$2:$B$22,0)-1)*9+MATCH("God",Parsed!$C$2:$C$10,0)),INDEX(Parsed!$M$2:$M$190,(MATCH(A46,Data!$B$2:$B$22,0)-1)*9+MATCH("God",Parsed!$C$2:$C$10,0))*INDEX(Parsed!$I$2:$I$190,(MATCH(B46,Data!$B$2:$B$22,0)-1)*9+MATCH("God",Parsed!$C$2:$C$10,0)),0)+IF(INDEX(Parsed!$K$2:$K$190,(MATCH(A46,Data!$B$2:$B$22,0)-1)*9+MATCH("Politics",Parsed!$C$2:$C$10,0))=INDEX(Parsed!$H$2:$H$190,(MATCH(B46,Data!$B$2:$B$22,0)-1)*9+MATCH("Politics",Parsed!$C$2:$C$10,0)),INDEX(Parsed!$M$2:$M$190,(MATCH(A46,Data!$B$2:$B$22,0)-1)*9+MATCH("Politics",Parsed!$C$2:$C$10,0))*INDEX(Parsed!$I$2:$I$190,(MATCH(B46,Data!$B$2:$B$22,0)-1)*9+MATCH("Politics",Parsed!$C$2:$C$10,0)),0)+IF(INDEX(Parsed!$K$2:$K$190,(MATCH(A46,Data!$B$2:$B$22,0)-1)*9+MATCH("Marriage",Parsed!$C$2:$C$10,0))=INDEX(Parsed!$H$2:$H$190,(MATCH(B46,Data!$B$2:$B$22,0)-1)*9+MATCH("Marriage",Parsed!$C$2:$C$10,0)),INDEX(Parsed!$M$2:$M$190,(MATCH(A46,Data!$B$2:$B$22,0)-1)*9+MATCH("Marriage",Parsed!$C$2:$C$10,0))*INDEX(Parsed!$I$2:$I$190,(MATCH(B46,Data!$B$2:$B$22,0)-1)*9+MATCH("Marriage",Parsed!$C$2:$C$10,0)),0)+IF(INDEX(Parsed!$K$2:$K$190,(MATCH(A46,Data!$B$2:$B$22,0)-1)*9+MATCH("Children",Parsed!$C$2:$C$10,0))=INDEX(Parsed!$H$2:$H$190,(MATCH(B46,Data!$B$2:$B$22,0)-1)*9+MATCH("Children",Parsed!$C$2:$C$10,0)),INDEX(Parsed!$M$2:$M$190,(MATCH(A46,Data!$B$2:$B$22,0)-1)*9+MATCH("Children",Parsed!$C$2:$C$10,0))*INDEX(Parsed!$I$2:$I$190,(MATCH(B46,Data!$B$2:$B$22,0)-1)*9+MATCH("Children",Parsed!$C$2:$C$10,0)),0)+IF(INDEX(Parsed!$K$2:$K$190,(MATCH(A46,Data!$B$2:$B$22,0)-1)*9+MATCH("Ethicity",Parsed!$C$2:$C$10,0))=INDEX(Parsed!$H$2:$H$190,(MATCH(B46,Data!$B$2:$B$22,0)-1)*9+MATCH("Ethicity",Parsed!$C$2:$C$10,0)),INDEX(Parsed!$M$2:$M$190,(MATCH(A46,Data!$B$2:$B$22,0)-1)*9+MATCH("Ethicity",Parsed!$C$2:$C$10,0))*INDEX(Parsed!$I$2:$I$190,(MATCH(B46,Data!$B$2:$B$22,0)-1)*9+MATCH("Ethicity",Parsed!$C$2:$C$10,0)),0)+IF(INDEX(Parsed!$K$2:$K$190,(MATCH(A46,Data!$B$2:$B$22,0)-1)*9+MATCH("Past",Parsed!$C$2:$C$10,0))=INDEX(Parsed!$H$2:$H$190,(MATCH(B46,Data!$B$2:$B$22,0)-1)*9+MATCH("Past",Parsed!$C$2:$C$10,0)),INDEX(Parsed!$M$2:$M$190,(MATCH(A46,Data!$B$2:$B$22,0)-1)*9+MATCH("Past",Parsed!$C$2:$C$10,0))*INDEX(Parsed!$I$2:$I$190,(MATCH(B46,Data!$B$2:$B$22,0)-1)*9+MATCH("Past",Parsed!$C$2:$C$10,0)),0)+IF(INDEX(Parsed!$K$2:$K$190,(MATCH(A46,Data!$B$2:$B$22,0)-1)*9+MATCH("D/S",Parsed!$C$2:$C$10,0))=INDEX(Parsed!$H$2:$H$190,(MATCH(B46,Data!$B$2:$B$22,0)-1)*9+MATCH("D/S",Parsed!$C$2:$C$10,0)),INDEX(Parsed!$M$2:$M$190,(MATCH(A46,Data!$B$2:$B$22,0)-1)*9+MATCH("D/S",Parsed!$C$2:$C$10,0))*INDEX(Parsed!$I$2:$I$190,(MATCH(B46,Data!$B$2:$B$22,0)-1)*9+MATCH("D/S",Parsed!$C$2:$C$10,0)),0)+IF(INDEX(Parsed!$K$2:$K$190,(MATCH(A46,Data!$B$2:$B$22,0)-1)*9+MATCH("True/kind",Parsed!$C$2:$C$10,0))=INDEX(Parsed!$H$2:$H$190,(MATCH(B46,Data!$B$2:$B$22,0)-1)*9+MATCH("True/kind",Parsed!$C$2:$C$10,0)),INDEX(Parsed!$M$2:$M$190,(MATCH(A46,Data!$B$2:$B$22,0)-1)*9+MATCH("True/kind",Parsed!$C$2:$C$10,0))*INDEX(Parsed!$I$2:$I$190,(MATCH(B46,Data!$B$2:$B$22,0)-1)*9+MATCH("True/kind",Parsed!$C$2:$C$10,0)),0)+IF(INDEX(Parsed!$K$2:$K$190,(MATCH(A46,Data!$B$2:$B$22,0)-1)*9+MATCH("Animal",Parsed!$C$2:$C$10,0))=INDEX(Parsed!$H$2:$H$190,(MATCH(B46,Data!$B$2:$B$22,0)-1)*9+MATCH("Animal",Parsed!$C$2:$C$10,0)),INDEX(Parsed!$M$2:$M$190,(MATCH(A46,Data!$B$2:$B$22,0)-1)*9+MATCH("Animal",Parsed!$C$2:$C$10,0))*INDEX(Parsed!$I$2:$I$190,(MATCH(B46,Data!$B$2:$B$22,0)-1)*9+MATCH("Animal",Parsed!$C$2:$C$10,0)),0),0)</x:f>
        <x:v>51.25</x:v>
      </x:c>
      <x:c r="E46" s="11" t="n">
        <x:f>SQRT(C46*D46)</x:f>
        <x:v>51.25</x:v>
      </x:c>
    </x:row>
    <x:row r="47">
      <x:c r="A47" t="str">
        <x:v>lawrence</x:v>
      </x:c>
      <x:c r="B47" t="str">
        <x:v>sophiah</x:v>
      </x:c>
      <x:c r="C47" s="11" t="n">
        <x:f>IFERROR(IF(INDEX(Parsed!$K$2:$K$190,(MATCH(B47,Data!$B$2:$B$22,0)-1)*9+MATCH("God",Parsed!$C$2:$C$10,0))=INDEX(Parsed!$H$2:$H$190,(MATCH(A47,Data!$B$2:$B$22,0)-1)*9+MATCH("God",Parsed!$C$2:$C$10,0)),INDEX(Parsed!$M$2:$M$190,(MATCH(B47,Data!$B$2:$B$22,0)-1)*9+MATCH("God",Parsed!$C$2:$C$10,0))*INDEX(Parsed!$I$2:$I$190,(MATCH(A47,Data!$B$2:$B$22,0)-1)*9+MATCH("God",Parsed!$C$2:$C$10,0)),0)+IF(INDEX(Parsed!$K$2:$K$190,(MATCH(B47,Data!$B$2:$B$22,0)-1)*9+MATCH("Politics",Parsed!$C$2:$C$10,0))=INDEX(Parsed!$H$2:$H$190,(MATCH(A47,Data!$B$2:$B$22,0)-1)*9+MATCH("Politics",Parsed!$C$2:$C$10,0)),INDEX(Parsed!$M$2:$M$190,(MATCH(B47,Data!$B$2:$B$22,0)-1)*9+MATCH("Politics",Parsed!$C$2:$C$10,0))*INDEX(Parsed!$I$2:$I$190,(MATCH(A47,Data!$B$2:$B$22,0)-1)*9+MATCH("Politics",Parsed!$C$2:$C$10,0)),0)+IF(INDEX(Parsed!$K$2:$K$190,(MATCH(B47,Data!$B$2:$B$22,0)-1)*9+MATCH("Marriage",Parsed!$C$2:$C$10,0))=INDEX(Parsed!$H$2:$H$190,(MATCH(A47,Data!$B$2:$B$22,0)-1)*9+MATCH("Marriage",Parsed!$C$2:$C$10,0)),INDEX(Parsed!$M$2:$M$190,(MATCH(B47,Data!$B$2:$B$22,0)-1)*9+MATCH("Marriage",Parsed!$C$2:$C$10,0))*INDEX(Parsed!$I$2:$I$190,(MATCH(A47,Data!$B$2:$B$22,0)-1)*9+MATCH("Marriage",Parsed!$C$2:$C$10,0)),0)+IF(INDEX(Parsed!$K$2:$K$190,(MATCH(B47,Data!$B$2:$B$22,0)-1)*9+MATCH("Children",Parsed!$C$2:$C$10,0))=INDEX(Parsed!$H$2:$H$190,(MATCH(A47,Data!$B$2:$B$22,0)-1)*9+MATCH("Children",Parsed!$C$2:$C$10,0)),INDEX(Parsed!$M$2:$M$190,(MATCH(B47,Data!$B$2:$B$22,0)-1)*9+MATCH("Children",Parsed!$C$2:$C$10,0))*INDEX(Parsed!$I$2:$I$190,(MATCH(A47,Data!$B$2:$B$22,0)-1)*9+MATCH("Children",Parsed!$C$2:$C$10,0)),0)+IF(INDEX(Parsed!$K$2:$K$190,(MATCH(B47,Data!$B$2:$B$22,0)-1)*9+MATCH("Ethicity",Parsed!$C$2:$C$10,0))=INDEX(Parsed!$H$2:$H$190,(MATCH(A47,Data!$B$2:$B$22,0)-1)*9+MATCH("Ethicity",Parsed!$C$2:$C$10,0)),INDEX(Parsed!$M$2:$M$190,(MATCH(B47,Data!$B$2:$B$22,0)-1)*9+MATCH("Ethicity",Parsed!$C$2:$C$10,0))*INDEX(Parsed!$I$2:$I$190,(MATCH(A47,Data!$B$2:$B$22,0)-1)*9+MATCH("Ethicity",Parsed!$C$2:$C$10,0)),0)+IF(INDEX(Parsed!$K$2:$K$190,(MATCH(B47,Data!$B$2:$B$22,0)-1)*9+MATCH("Past",Parsed!$C$2:$C$10,0))=INDEX(Parsed!$H$2:$H$190,(MATCH(A47,Data!$B$2:$B$22,0)-1)*9+MATCH("Past",Parsed!$C$2:$C$10,0)),INDEX(Parsed!$M$2:$M$190,(MATCH(B47,Data!$B$2:$B$22,0)-1)*9+MATCH("Past",Parsed!$C$2:$C$10,0))*INDEX(Parsed!$I$2:$I$190,(MATCH(A47,Data!$B$2:$B$22,0)-1)*9+MATCH("Past",Parsed!$C$2:$C$10,0)),0)+IF(INDEX(Parsed!$K$2:$K$190,(MATCH(B47,Data!$B$2:$B$22,0)-1)*9+MATCH("D/S",Parsed!$C$2:$C$10,0))=INDEX(Parsed!$H$2:$H$190,(MATCH(A47,Data!$B$2:$B$22,0)-1)*9+MATCH("D/S",Parsed!$C$2:$C$10,0)),INDEX(Parsed!$M$2:$M$190,(MATCH(B47,Data!$B$2:$B$22,0)-1)*9+MATCH("D/S",Parsed!$C$2:$C$10,0))*INDEX(Parsed!$I$2:$I$190,(MATCH(A47,Data!$B$2:$B$22,0)-1)*9+MATCH("D/S",Parsed!$C$2:$C$10,0)),0)+IF(INDEX(Parsed!$K$2:$K$190,(MATCH(B47,Data!$B$2:$B$22,0)-1)*9+MATCH("True/kind",Parsed!$C$2:$C$10,0))=INDEX(Parsed!$H$2:$H$190,(MATCH(A47,Data!$B$2:$B$22,0)-1)*9+MATCH("True/kind",Parsed!$C$2:$C$10,0)),INDEX(Parsed!$M$2:$M$190,(MATCH(B47,Data!$B$2:$B$22,0)-1)*9+MATCH("True/kind",Parsed!$C$2:$C$10,0))*INDEX(Parsed!$I$2:$I$190,(MATCH(A47,Data!$B$2:$B$22,0)-1)*9+MATCH("True/kind",Parsed!$C$2:$C$10,0)),0)+IF(INDEX(Parsed!$K$2:$K$190,(MATCH(B47,Data!$B$2:$B$22,0)-1)*9+MATCH("Animal",Parsed!$C$2:$C$10,0))=INDEX(Parsed!$H$2:$H$190,(MATCH(A47,Data!$B$2:$B$22,0)-1)*9+MATCH("Animal",Parsed!$C$2:$C$10,0)),INDEX(Parsed!$M$2:$M$190,(MATCH(B47,Data!$B$2:$B$22,0)-1)*9+MATCH("Animal",Parsed!$C$2:$C$10,0))*INDEX(Parsed!$I$2:$I$190,(MATCH(A47,Data!$B$2:$B$22,0)-1)*9+MATCH("Animal",Parsed!$C$2:$C$10,0)),0),0)</x:f>
        <x:v>27.5</x:v>
      </x:c>
      <x:c r="D47" s="11" t="n">
        <x:f>IFERROR(IF(INDEX(Parsed!$K$2:$K$190,(MATCH(A47,Data!$B$2:$B$22,0)-1)*9+MATCH("God",Parsed!$C$2:$C$10,0))=INDEX(Parsed!$H$2:$H$190,(MATCH(B47,Data!$B$2:$B$22,0)-1)*9+MATCH("God",Parsed!$C$2:$C$10,0)),INDEX(Parsed!$M$2:$M$190,(MATCH(A47,Data!$B$2:$B$22,0)-1)*9+MATCH("God",Parsed!$C$2:$C$10,0))*INDEX(Parsed!$I$2:$I$190,(MATCH(B47,Data!$B$2:$B$22,0)-1)*9+MATCH("God",Parsed!$C$2:$C$10,0)),0)+IF(INDEX(Parsed!$K$2:$K$190,(MATCH(A47,Data!$B$2:$B$22,0)-1)*9+MATCH("Politics",Parsed!$C$2:$C$10,0))=INDEX(Parsed!$H$2:$H$190,(MATCH(B47,Data!$B$2:$B$22,0)-1)*9+MATCH("Politics",Parsed!$C$2:$C$10,0)),INDEX(Parsed!$M$2:$M$190,(MATCH(A47,Data!$B$2:$B$22,0)-1)*9+MATCH("Politics",Parsed!$C$2:$C$10,0))*INDEX(Parsed!$I$2:$I$190,(MATCH(B47,Data!$B$2:$B$22,0)-1)*9+MATCH("Politics",Parsed!$C$2:$C$10,0)),0)+IF(INDEX(Parsed!$K$2:$K$190,(MATCH(A47,Data!$B$2:$B$22,0)-1)*9+MATCH("Marriage",Parsed!$C$2:$C$10,0))=INDEX(Parsed!$H$2:$H$190,(MATCH(B47,Data!$B$2:$B$22,0)-1)*9+MATCH("Marriage",Parsed!$C$2:$C$10,0)),INDEX(Parsed!$M$2:$M$190,(MATCH(A47,Data!$B$2:$B$22,0)-1)*9+MATCH("Marriage",Parsed!$C$2:$C$10,0))*INDEX(Parsed!$I$2:$I$190,(MATCH(B47,Data!$B$2:$B$22,0)-1)*9+MATCH("Marriage",Parsed!$C$2:$C$10,0)),0)+IF(INDEX(Parsed!$K$2:$K$190,(MATCH(A47,Data!$B$2:$B$22,0)-1)*9+MATCH("Children",Parsed!$C$2:$C$10,0))=INDEX(Parsed!$H$2:$H$190,(MATCH(B47,Data!$B$2:$B$22,0)-1)*9+MATCH("Children",Parsed!$C$2:$C$10,0)),INDEX(Parsed!$M$2:$M$190,(MATCH(A47,Data!$B$2:$B$22,0)-1)*9+MATCH("Children",Parsed!$C$2:$C$10,0))*INDEX(Parsed!$I$2:$I$190,(MATCH(B47,Data!$B$2:$B$22,0)-1)*9+MATCH("Children",Parsed!$C$2:$C$10,0)),0)+IF(INDEX(Parsed!$K$2:$K$190,(MATCH(A47,Data!$B$2:$B$22,0)-1)*9+MATCH("Ethicity",Parsed!$C$2:$C$10,0))=INDEX(Parsed!$H$2:$H$190,(MATCH(B47,Data!$B$2:$B$22,0)-1)*9+MATCH("Ethicity",Parsed!$C$2:$C$10,0)),INDEX(Parsed!$M$2:$M$190,(MATCH(A47,Data!$B$2:$B$22,0)-1)*9+MATCH("Ethicity",Parsed!$C$2:$C$10,0))*INDEX(Parsed!$I$2:$I$190,(MATCH(B47,Data!$B$2:$B$22,0)-1)*9+MATCH("Ethicity",Parsed!$C$2:$C$10,0)),0)+IF(INDEX(Parsed!$K$2:$K$190,(MATCH(A47,Data!$B$2:$B$22,0)-1)*9+MATCH("Past",Parsed!$C$2:$C$10,0))=INDEX(Parsed!$H$2:$H$190,(MATCH(B47,Data!$B$2:$B$22,0)-1)*9+MATCH("Past",Parsed!$C$2:$C$10,0)),INDEX(Parsed!$M$2:$M$190,(MATCH(A47,Data!$B$2:$B$22,0)-1)*9+MATCH("Past",Parsed!$C$2:$C$10,0))*INDEX(Parsed!$I$2:$I$190,(MATCH(B47,Data!$B$2:$B$22,0)-1)*9+MATCH("Past",Parsed!$C$2:$C$10,0)),0)+IF(INDEX(Parsed!$K$2:$K$190,(MATCH(A47,Data!$B$2:$B$22,0)-1)*9+MATCH("D/S",Parsed!$C$2:$C$10,0))=INDEX(Parsed!$H$2:$H$190,(MATCH(B47,Data!$B$2:$B$22,0)-1)*9+MATCH("D/S",Parsed!$C$2:$C$10,0)),INDEX(Parsed!$M$2:$M$190,(MATCH(A47,Data!$B$2:$B$22,0)-1)*9+MATCH("D/S",Parsed!$C$2:$C$10,0))*INDEX(Parsed!$I$2:$I$190,(MATCH(B47,Data!$B$2:$B$22,0)-1)*9+MATCH("D/S",Parsed!$C$2:$C$10,0)),0)+IF(INDEX(Parsed!$K$2:$K$190,(MATCH(A47,Data!$B$2:$B$22,0)-1)*9+MATCH("True/kind",Parsed!$C$2:$C$10,0))=INDEX(Parsed!$H$2:$H$190,(MATCH(B47,Data!$B$2:$B$22,0)-1)*9+MATCH("True/kind",Parsed!$C$2:$C$10,0)),INDEX(Parsed!$M$2:$M$190,(MATCH(A47,Data!$B$2:$B$22,0)-1)*9+MATCH("True/kind",Parsed!$C$2:$C$10,0))*INDEX(Parsed!$I$2:$I$190,(MATCH(B47,Data!$B$2:$B$22,0)-1)*9+MATCH("True/kind",Parsed!$C$2:$C$10,0)),0)+IF(INDEX(Parsed!$K$2:$K$190,(MATCH(A47,Data!$B$2:$B$22,0)-1)*9+MATCH("Animal",Parsed!$C$2:$C$10,0))=INDEX(Parsed!$H$2:$H$190,(MATCH(B47,Data!$B$2:$B$22,0)-1)*9+MATCH("Animal",Parsed!$C$2:$C$10,0)),INDEX(Parsed!$M$2:$M$190,(MATCH(A47,Data!$B$2:$B$22,0)-1)*9+MATCH("Animal",Parsed!$C$2:$C$10,0))*INDEX(Parsed!$I$2:$I$190,(MATCH(B47,Data!$B$2:$B$22,0)-1)*9+MATCH("Animal",Parsed!$C$2:$C$10,0)),0),0)</x:f>
        <x:v>47.5</x:v>
      </x:c>
      <x:c r="E47" s="11" t="n">
        <x:f>SQRT(C47*D47)</x:f>
        <x:v>36.1420807370024</x:v>
      </x:c>
    </x:row>
    <x:row r="48">
      <x:c r="A48" t="str">
        <x:v>lawrence</x:v>
      </x:c>
      <x:c r="B48" t="str">
        <x:v>angela</x:v>
      </x:c>
      <x:c r="C48" s="11" t="n">
        <x:f>IFERROR(IF(INDEX(Parsed!$K$2:$K$190,(MATCH(B48,Data!$B$2:$B$22,0)-1)*9+MATCH("God",Parsed!$C$2:$C$10,0))=INDEX(Parsed!$H$2:$H$190,(MATCH(A48,Data!$B$2:$B$22,0)-1)*9+MATCH("God",Parsed!$C$2:$C$10,0)),INDEX(Parsed!$M$2:$M$190,(MATCH(B48,Data!$B$2:$B$22,0)-1)*9+MATCH("God",Parsed!$C$2:$C$10,0))*INDEX(Parsed!$I$2:$I$190,(MATCH(A48,Data!$B$2:$B$22,0)-1)*9+MATCH("God",Parsed!$C$2:$C$10,0)),0)+IF(INDEX(Parsed!$K$2:$K$190,(MATCH(B48,Data!$B$2:$B$22,0)-1)*9+MATCH("Politics",Parsed!$C$2:$C$10,0))=INDEX(Parsed!$H$2:$H$190,(MATCH(A48,Data!$B$2:$B$22,0)-1)*9+MATCH("Politics",Parsed!$C$2:$C$10,0)),INDEX(Parsed!$M$2:$M$190,(MATCH(B48,Data!$B$2:$B$22,0)-1)*9+MATCH("Politics",Parsed!$C$2:$C$10,0))*INDEX(Parsed!$I$2:$I$190,(MATCH(A48,Data!$B$2:$B$22,0)-1)*9+MATCH("Politics",Parsed!$C$2:$C$10,0)),0)+IF(INDEX(Parsed!$K$2:$K$190,(MATCH(B48,Data!$B$2:$B$22,0)-1)*9+MATCH("Marriage",Parsed!$C$2:$C$10,0))=INDEX(Parsed!$H$2:$H$190,(MATCH(A48,Data!$B$2:$B$22,0)-1)*9+MATCH("Marriage",Parsed!$C$2:$C$10,0)),INDEX(Parsed!$M$2:$M$190,(MATCH(B48,Data!$B$2:$B$22,0)-1)*9+MATCH("Marriage",Parsed!$C$2:$C$10,0))*INDEX(Parsed!$I$2:$I$190,(MATCH(A48,Data!$B$2:$B$22,0)-1)*9+MATCH("Marriage",Parsed!$C$2:$C$10,0)),0)+IF(INDEX(Parsed!$K$2:$K$190,(MATCH(B48,Data!$B$2:$B$22,0)-1)*9+MATCH("Children",Parsed!$C$2:$C$10,0))=INDEX(Parsed!$H$2:$H$190,(MATCH(A48,Data!$B$2:$B$22,0)-1)*9+MATCH("Children",Parsed!$C$2:$C$10,0)),INDEX(Parsed!$M$2:$M$190,(MATCH(B48,Data!$B$2:$B$22,0)-1)*9+MATCH("Children",Parsed!$C$2:$C$10,0))*INDEX(Parsed!$I$2:$I$190,(MATCH(A48,Data!$B$2:$B$22,0)-1)*9+MATCH("Children",Parsed!$C$2:$C$10,0)),0)+IF(INDEX(Parsed!$K$2:$K$190,(MATCH(B48,Data!$B$2:$B$22,0)-1)*9+MATCH("Ethicity",Parsed!$C$2:$C$10,0))=INDEX(Parsed!$H$2:$H$190,(MATCH(A48,Data!$B$2:$B$22,0)-1)*9+MATCH("Ethicity",Parsed!$C$2:$C$10,0)),INDEX(Parsed!$M$2:$M$190,(MATCH(B48,Data!$B$2:$B$22,0)-1)*9+MATCH("Ethicity",Parsed!$C$2:$C$10,0))*INDEX(Parsed!$I$2:$I$190,(MATCH(A48,Data!$B$2:$B$22,0)-1)*9+MATCH("Ethicity",Parsed!$C$2:$C$10,0)),0)+IF(INDEX(Parsed!$K$2:$K$190,(MATCH(B48,Data!$B$2:$B$22,0)-1)*9+MATCH("Past",Parsed!$C$2:$C$10,0))=INDEX(Parsed!$H$2:$H$190,(MATCH(A48,Data!$B$2:$B$22,0)-1)*9+MATCH("Past",Parsed!$C$2:$C$10,0)),INDEX(Parsed!$M$2:$M$190,(MATCH(B48,Data!$B$2:$B$22,0)-1)*9+MATCH("Past",Parsed!$C$2:$C$10,0))*INDEX(Parsed!$I$2:$I$190,(MATCH(A48,Data!$B$2:$B$22,0)-1)*9+MATCH("Past",Parsed!$C$2:$C$10,0)),0)+IF(INDEX(Parsed!$K$2:$K$190,(MATCH(B48,Data!$B$2:$B$22,0)-1)*9+MATCH("D/S",Parsed!$C$2:$C$10,0))=INDEX(Parsed!$H$2:$H$190,(MATCH(A48,Data!$B$2:$B$22,0)-1)*9+MATCH("D/S",Parsed!$C$2:$C$10,0)),INDEX(Parsed!$M$2:$M$190,(MATCH(B48,Data!$B$2:$B$22,0)-1)*9+MATCH("D/S",Parsed!$C$2:$C$10,0))*INDEX(Parsed!$I$2:$I$190,(MATCH(A48,Data!$B$2:$B$22,0)-1)*9+MATCH("D/S",Parsed!$C$2:$C$10,0)),0)+IF(INDEX(Parsed!$K$2:$K$190,(MATCH(B48,Data!$B$2:$B$22,0)-1)*9+MATCH("True/kind",Parsed!$C$2:$C$10,0))=INDEX(Parsed!$H$2:$H$190,(MATCH(A48,Data!$B$2:$B$22,0)-1)*9+MATCH("True/kind",Parsed!$C$2:$C$10,0)),INDEX(Parsed!$M$2:$M$190,(MATCH(B48,Data!$B$2:$B$22,0)-1)*9+MATCH("True/kind",Parsed!$C$2:$C$10,0))*INDEX(Parsed!$I$2:$I$190,(MATCH(A48,Data!$B$2:$B$22,0)-1)*9+MATCH("True/kind",Parsed!$C$2:$C$10,0)),0)+IF(INDEX(Parsed!$K$2:$K$190,(MATCH(B48,Data!$B$2:$B$22,0)-1)*9+MATCH("Animal",Parsed!$C$2:$C$10,0))=INDEX(Parsed!$H$2:$H$190,(MATCH(A48,Data!$B$2:$B$22,0)-1)*9+MATCH("Animal",Parsed!$C$2:$C$10,0)),INDEX(Parsed!$M$2:$M$190,(MATCH(B48,Data!$B$2:$B$22,0)-1)*9+MATCH("Animal",Parsed!$C$2:$C$10,0))*INDEX(Parsed!$I$2:$I$190,(MATCH(A48,Data!$B$2:$B$22,0)-1)*9+MATCH("Animal",Parsed!$C$2:$C$10,0)),0),0)</x:f>
        <x:v>56.25</x:v>
      </x:c>
      <x:c r="D48" s="11" t="n">
        <x:f>IFERROR(IF(INDEX(Parsed!$K$2:$K$190,(MATCH(A48,Data!$B$2:$B$22,0)-1)*9+MATCH("God",Parsed!$C$2:$C$10,0))=INDEX(Parsed!$H$2:$H$190,(MATCH(B48,Data!$B$2:$B$22,0)-1)*9+MATCH("God",Parsed!$C$2:$C$10,0)),INDEX(Parsed!$M$2:$M$190,(MATCH(A48,Data!$B$2:$B$22,0)-1)*9+MATCH("God",Parsed!$C$2:$C$10,0))*INDEX(Parsed!$I$2:$I$190,(MATCH(B48,Data!$B$2:$B$22,0)-1)*9+MATCH("God",Parsed!$C$2:$C$10,0)),0)+IF(INDEX(Parsed!$K$2:$K$190,(MATCH(A48,Data!$B$2:$B$22,0)-1)*9+MATCH("Politics",Parsed!$C$2:$C$10,0))=INDEX(Parsed!$H$2:$H$190,(MATCH(B48,Data!$B$2:$B$22,0)-1)*9+MATCH("Politics",Parsed!$C$2:$C$10,0)),INDEX(Parsed!$M$2:$M$190,(MATCH(A48,Data!$B$2:$B$22,0)-1)*9+MATCH("Politics",Parsed!$C$2:$C$10,0))*INDEX(Parsed!$I$2:$I$190,(MATCH(B48,Data!$B$2:$B$22,0)-1)*9+MATCH("Politics",Parsed!$C$2:$C$10,0)),0)+IF(INDEX(Parsed!$K$2:$K$190,(MATCH(A48,Data!$B$2:$B$22,0)-1)*9+MATCH("Marriage",Parsed!$C$2:$C$10,0))=INDEX(Parsed!$H$2:$H$190,(MATCH(B48,Data!$B$2:$B$22,0)-1)*9+MATCH("Marriage",Parsed!$C$2:$C$10,0)),INDEX(Parsed!$M$2:$M$190,(MATCH(A48,Data!$B$2:$B$22,0)-1)*9+MATCH("Marriage",Parsed!$C$2:$C$10,0))*INDEX(Parsed!$I$2:$I$190,(MATCH(B48,Data!$B$2:$B$22,0)-1)*9+MATCH("Marriage",Parsed!$C$2:$C$10,0)),0)+IF(INDEX(Parsed!$K$2:$K$190,(MATCH(A48,Data!$B$2:$B$22,0)-1)*9+MATCH("Children",Parsed!$C$2:$C$10,0))=INDEX(Parsed!$H$2:$H$190,(MATCH(B48,Data!$B$2:$B$22,0)-1)*9+MATCH("Children",Parsed!$C$2:$C$10,0)),INDEX(Parsed!$M$2:$M$190,(MATCH(A48,Data!$B$2:$B$22,0)-1)*9+MATCH("Children",Parsed!$C$2:$C$10,0))*INDEX(Parsed!$I$2:$I$190,(MATCH(B48,Data!$B$2:$B$22,0)-1)*9+MATCH("Children",Parsed!$C$2:$C$10,0)),0)+IF(INDEX(Parsed!$K$2:$K$190,(MATCH(A48,Data!$B$2:$B$22,0)-1)*9+MATCH("Ethicity",Parsed!$C$2:$C$10,0))=INDEX(Parsed!$H$2:$H$190,(MATCH(B48,Data!$B$2:$B$22,0)-1)*9+MATCH("Ethicity",Parsed!$C$2:$C$10,0)),INDEX(Parsed!$M$2:$M$190,(MATCH(A48,Data!$B$2:$B$22,0)-1)*9+MATCH("Ethicity",Parsed!$C$2:$C$10,0))*INDEX(Parsed!$I$2:$I$190,(MATCH(B48,Data!$B$2:$B$22,0)-1)*9+MATCH("Ethicity",Parsed!$C$2:$C$10,0)),0)+IF(INDEX(Parsed!$K$2:$K$190,(MATCH(A48,Data!$B$2:$B$22,0)-1)*9+MATCH("Past",Parsed!$C$2:$C$10,0))=INDEX(Parsed!$H$2:$H$190,(MATCH(B48,Data!$B$2:$B$22,0)-1)*9+MATCH("Past",Parsed!$C$2:$C$10,0)),INDEX(Parsed!$M$2:$M$190,(MATCH(A48,Data!$B$2:$B$22,0)-1)*9+MATCH("Past",Parsed!$C$2:$C$10,0))*INDEX(Parsed!$I$2:$I$190,(MATCH(B48,Data!$B$2:$B$22,0)-1)*9+MATCH("Past",Parsed!$C$2:$C$10,0)),0)+IF(INDEX(Parsed!$K$2:$K$190,(MATCH(A48,Data!$B$2:$B$22,0)-1)*9+MATCH("D/S",Parsed!$C$2:$C$10,0))=INDEX(Parsed!$H$2:$H$190,(MATCH(B48,Data!$B$2:$B$22,0)-1)*9+MATCH("D/S",Parsed!$C$2:$C$10,0)),INDEX(Parsed!$M$2:$M$190,(MATCH(A48,Data!$B$2:$B$22,0)-1)*9+MATCH("D/S",Parsed!$C$2:$C$10,0))*INDEX(Parsed!$I$2:$I$190,(MATCH(B48,Data!$B$2:$B$22,0)-1)*9+MATCH("D/S",Parsed!$C$2:$C$10,0)),0)+IF(INDEX(Parsed!$K$2:$K$190,(MATCH(A48,Data!$B$2:$B$22,0)-1)*9+MATCH("True/kind",Parsed!$C$2:$C$10,0))=INDEX(Parsed!$H$2:$H$190,(MATCH(B48,Data!$B$2:$B$22,0)-1)*9+MATCH("True/kind",Parsed!$C$2:$C$10,0)),INDEX(Parsed!$M$2:$M$190,(MATCH(A48,Data!$B$2:$B$22,0)-1)*9+MATCH("True/kind",Parsed!$C$2:$C$10,0))*INDEX(Parsed!$I$2:$I$190,(MATCH(B48,Data!$B$2:$B$22,0)-1)*9+MATCH("True/kind",Parsed!$C$2:$C$10,0)),0)+IF(INDEX(Parsed!$K$2:$K$190,(MATCH(A48,Data!$B$2:$B$22,0)-1)*9+MATCH("Animal",Parsed!$C$2:$C$10,0))=INDEX(Parsed!$H$2:$H$190,(MATCH(B48,Data!$B$2:$B$22,0)-1)*9+MATCH("Animal",Parsed!$C$2:$C$10,0)),INDEX(Parsed!$M$2:$M$190,(MATCH(A48,Data!$B$2:$B$22,0)-1)*9+MATCH("Animal",Parsed!$C$2:$C$10,0))*INDEX(Parsed!$I$2:$I$190,(MATCH(B48,Data!$B$2:$B$22,0)-1)*9+MATCH("Animal",Parsed!$C$2:$C$10,0)),0),0)</x:f>
        <x:v>62.5</x:v>
      </x:c>
      <x:c r="E48" s="11" t="n">
        <x:f>SQRT(C48*D48)</x:f>
        <x:v>59.292706128157114</x:v>
      </x:c>
    </x:row>
    <x:row r="49">
      <x:c r="A49" t="str">
        <x:v>lawrence</x:v>
      </x:c>
      <x:c r="B49" t="str">
        <x:v>issabel</x:v>
      </x:c>
      <x:c r="C49" s="11" t="n">
        <x:f>IFERROR(IF(INDEX(Parsed!$K$2:$K$190,(MATCH(B49,Data!$B$2:$B$22,0)-1)*9+MATCH("God",Parsed!$C$2:$C$10,0))=INDEX(Parsed!$H$2:$H$190,(MATCH(A49,Data!$B$2:$B$22,0)-1)*9+MATCH("God",Parsed!$C$2:$C$10,0)),INDEX(Parsed!$M$2:$M$190,(MATCH(B49,Data!$B$2:$B$22,0)-1)*9+MATCH("God",Parsed!$C$2:$C$10,0))*INDEX(Parsed!$I$2:$I$190,(MATCH(A49,Data!$B$2:$B$22,0)-1)*9+MATCH("God",Parsed!$C$2:$C$10,0)),0)+IF(INDEX(Parsed!$K$2:$K$190,(MATCH(B49,Data!$B$2:$B$22,0)-1)*9+MATCH("Politics",Parsed!$C$2:$C$10,0))=INDEX(Parsed!$H$2:$H$190,(MATCH(A49,Data!$B$2:$B$22,0)-1)*9+MATCH("Politics",Parsed!$C$2:$C$10,0)),INDEX(Parsed!$M$2:$M$190,(MATCH(B49,Data!$B$2:$B$22,0)-1)*9+MATCH("Politics",Parsed!$C$2:$C$10,0))*INDEX(Parsed!$I$2:$I$190,(MATCH(A49,Data!$B$2:$B$22,0)-1)*9+MATCH("Politics",Parsed!$C$2:$C$10,0)),0)+IF(INDEX(Parsed!$K$2:$K$190,(MATCH(B49,Data!$B$2:$B$22,0)-1)*9+MATCH("Marriage",Parsed!$C$2:$C$10,0))=INDEX(Parsed!$H$2:$H$190,(MATCH(A49,Data!$B$2:$B$22,0)-1)*9+MATCH("Marriage",Parsed!$C$2:$C$10,0)),INDEX(Parsed!$M$2:$M$190,(MATCH(B49,Data!$B$2:$B$22,0)-1)*9+MATCH("Marriage",Parsed!$C$2:$C$10,0))*INDEX(Parsed!$I$2:$I$190,(MATCH(A49,Data!$B$2:$B$22,0)-1)*9+MATCH("Marriage",Parsed!$C$2:$C$10,0)),0)+IF(INDEX(Parsed!$K$2:$K$190,(MATCH(B49,Data!$B$2:$B$22,0)-1)*9+MATCH("Children",Parsed!$C$2:$C$10,0))=INDEX(Parsed!$H$2:$H$190,(MATCH(A49,Data!$B$2:$B$22,0)-1)*9+MATCH("Children",Parsed!$C$2:$C$10,0)),INDEX(Parsed!$M$2:$M$190,(MATCH(B49,Data!$B$2:$B$22,0)-1)*9+MATCH("Children",Parsed!$C$2:$C$10,0))*INDEX(Parsed!$I$2:$I$190,(MATCH(A49,Data!$B$2:$B$22,0)-1)*9+MATCH("Children",Parsed!$C$2:$C$10,0)),0)+IF(INDEX(Parsed!$K$2:$K$190,(MATCH(B49,Data!$B$2:$B$22,0)-1)*9+MATCH("Ethicity",Parsed!$C$2:$C$10,0))=INDEX(Parsed!$H$2:$H$190,(MATCH(A49,Data!$B$2:$B$22,0)-1)*9+MATCH("Ethicity",Parsed!$C$2:$C$10,0)),INDEX(Parsed!$M$2:$M$190,(MATCH(B49,Data!$B$2:$B$22,0)-1)*9+MATCH("Ethicity",Parsed!$C$2:$C$10,0))*INDEX(Parsed!$I$2:$I$190,(MATCH(A49,Data!$B$2:$B$22,0)-1)*9+MATCH("Ethicity",Parsed!$C$2:$C$10,0)),0)+IF(INDEX(Parsed!$K$2:$K$190,(MATCH(B49,Data!$B$2:$B$22,0)-1)*9+MATCH("Past",Parsed!$C$2:$C$10,0))=INDEX(Parsed!$H$2:$H$190,(MATCH(A49,Data!$B$2:$B$22,0)-1)*9+MATCH("Past",Parsed!$C$2:$C$10,0)),INDEX(Parsed!$M$2:$M$190,(MATCH(B49,Data!$B$2:$B$22,0)-1)*9+MATCH("Past",Parsed!$C$2:$C$10,0))*INDEX(Parsed!$I$2:$I$190,(MATCH(A49,Data!$B$2:$B$22,0)-1)*9+MATCH("Past",Parsed!$C$2:$C$10,0)),0)+IF(INDEX(Parsed!$K$2:$K$190,(MATCH(B49,Data!$B$2:$B$22,0)-1)*9+MATCH("D/S",Parsed!$C$2:$C$10,0))=INDEX(Parsed!$H$2:$H$190,(MATCH(A49,Data!$B$2:$B$22,0)-1)*9+MATCH("D/S",Parsed!$C$2:$C$10,0)),INDEX(Parsed!$M$2:$M$190,(MATCH(B49,Data!$B$2:$B$22,0)-1)*9+MATCH("D/S",Parsed!$C$2:$C$10,0))*INDEX(Parsed!$I$2:$I$190,(MATCH(A49,Data!$B$2:$B$22,0)-1)*9+MATCH("D/S",Parsed!$C$2:$C$10,0)),0)+IF(INDEX(Parsed!$K$2:$K$190,(MATCH(B49,Data!$B$2:$B$22,0)-1)*9+MATCH("True/kind",Parsed!$C$2:$C$10,0))=INDEX(Parsed!$H$2:$H$190,(MATCH(A49,Data!$B$2:$B$22,0)-1)*9+MATCH("True/kind",Parsed!$C$2:$C$10,0)),INDEX(Parsed!$M$2:$M$190,(MATCH(B49,Data!$B$2:$B$22,0)-1)*9+MATCH("True/kind",Parsed!$C$2:$C$10,0))*INDEX(Parsed!$I$2:$I$190,(MATCH(A49,Data!$B$2:$B$22,0)-1)*9+MATCH("True/kind",Parsed!$C$2:$C$10,0)),0)+IF(INDEX(Parsed!$K$2:$K$190,(MATCH(B49,Data!$B$2:$B$22,0)-1)*9+MATCH("Animal",Parsed!$C$2:$C$10,0))=INDEX(Parsed!$H$2:$H$190,(MATCH(A49,Data!$B$2:$B$22,0)-1)*9+MATCH("Animal",Parsed!$C$2:$C$10,0)),INDEX(Parsed!$M$2:$M$190,(MATCH(B49,Data!$B$2:$B$22,0)-1)*9+MATCH("Animal",Parsed!$C$2:$C$10,0))*INDEX(Parsed!$I$2:$I$190,(MATCH(A49,Data!$B$2:$B$22,0)-1)*9+MATCH("Animal",Parsed!$C$2:$C$10,0)),0),0)</x:f>
        <x:v>55</x:v>
      </x:c>
      <x:c r="D49" s="11" t="n">
        <x:f>IFERROR(IF(INDEX(Parsed!$K$2:$K$190,(MATCH(A49,Data!$B$2:$B$22,0)-1)*9+MATCH("God",Parsed!$C$2:$C$10,0))=INDEX(Parsed!$H$2:$H$190,(MATCH(B49,Data!$B$2:$B$22,0)-1)*9+MATCH("God",Parsed!$C$2:$C$10,0)),INDEX(Parsed!$M$2:$M$190,(MATCH(A49,Data!$B$2:$B$22,0)-1)*9+MATCH("God",Parsed!$C$2:$C$10,0))*INDEX(Parsed!$I$2:$I$190,(MATCH(B49,Data!$B$2:$B$22,0)-1)*9+MATCH("God",Parsed!$C$2:$C$10,0)),0)+IF(INDEX(Parsed!$K$2:$K$190,(MATCH(A49,Data!$B$2:$B$22,0)-1)*9+MATCH("Politics",Parsed!$C$2:$C$10,0))=INDEX(Parsed!$H$2:$H$190,(MATCH(B49,Data!$B$2:$B$22,0)-1)*9+MATCH("Politics",Parsed!$C$2:$C$10,0)),INDEX(Parsed!$M$2:$M$190,(MATCH(A49,Data!$B$2:$B$22,0)-1)*9+MATCH("Politics",Parsed!$C$2:$C$10,0))*INDEX(Parsed!$I$2:$I$190,(MATCH(B49,Data!$B$2:$B$22,0)-1)*9+MATCH("Politics",Parsed!$C$2:$C$10,0)),0)+IF(INDEX(Parsed!$K$2:$K$190,(MATCH(A49,Data!$B$2:$B$22,0)-1)*9+MATCH("Marriage",Parsed!$C$2:$C$10,0))=INDEX(Parsed!$H$2:$H$190,(MATCH(B49,Data!$B$2:$B$22,0)-1)*9+MATCH("Marriage",Parsed!$C$2:$C$10,0)),INDEX(Parsed!$M$2:$M$190,(MATCH(A49,Data!$B$2:$B$22,0)-1)*9+MATCH("Marriage",Parsed!$C$2:$C$10,0))*INDEX(Parsed!$I$2:$I$190,(MATCH(B49,Data!$B$2:$B$22,0)-1)*9+MATCH("Marriage",Parsed!$C$2:$C$10,0)),0)+IF(INDEX(Parsed!$K$2:$K$190,(MATCH(A49,Data!$B$2:$B$22,0)-1)*9+MATCH("Children",Parsed!$C$2:$C$10,0))=INDEX(Parsed!$H$2:$H$190,(MATCH(B49,Data!$B$2:$B$22,0)-1)*9+MATCH("Children",Parsed!$C$2:$C$10,0)),INDEX(Parsed!$M$2:$M$190,(MATCH(A49,Data!$B$2:$B$22,0)-1)*9+MATCH("Children",Parsed!$C$2:$C$10,0))*INDEX(Parsed!$I$2:$I$190,(MATCH(B49,Data!$B$2:$B$22,0)-1)*9+MATCH("Children",Parsed!$C$2:$C$10,0)),0)+IF(INDEX(Parsed!$K$2:$K$190,(MATCH(A49,Data!$B$2:$B$22,0)-1)*9+MATCH("Ethicity",Parsed!$C$2:$C$10,0))=INDEX(Parsed!$H$2:$H$190,(MATCH(B49,Data!$B$2:$B$22,0)-1)*9+MATCH("Ethicity",Parsed!$C$2:$C$10,0)),INDEX(Parsed!$M$2:$M$190,(MATCH(A49,Data!$B$2:$B$22,0)-1)*9+MATCH("Ethicity",Parsed!$C$2:$C$10,0))*INDEX(Parsed!$I$2:$I$190,(MATCH(B49,Data!$B$2:$B$22,0)-1)*9+MATCH("Ethicity",Parsed!$C$2:$C$10,0)),0)+IF(INDEX(Parsed!$K$2:$K$190,(MATCH(A49,Data!$B$2:$B$22,0)-1)*9+MATCH("Past",Parsed!$C$2:$C$10,0))=INDEX(Parsed!$H$2:$H$190,(MATCH(B49,Data!$B$2:$B$22,0)-1)*9+MATCH("Past",Parsed!$C$2:$C$10,0)),INDEX(Parsed!$M$2:$M$190,(MATCH(A49,Data!$B$2:$B$22,0)-1)*9+MATCH("Past",Parsed!$C$2:$C$10,0))*INDEX(Parsed!$I$2:$I$190,(MATCH(B49,Data!$B$2:$B$22,0)-1)*9+MATCH("Past",Parsed!$C$2:$C$10,0)),0)+IF(INDEX(Parsed!$K$2:$K$190,(MATCH(A49,Data!$B$2:$B$22,0)-1)*9+MATCH("D/S",Parsed!$C$2:$C$10,0))=INDEX(Parsed!$H$2:$H$190,(MATCH(B49,Data!$B$2:$B$22,0)-1)*9+MATCH("D/S",Parsed!$C$2:$C$10,0)),INDEX(Parsed!$M$2:$M$190,(MATCH(A49,Data!$B$2:$B$22,0)-1)*9+MATCH("D/S",Parsed!$C$2:$C$10,0))*INDEX(Parsed!$I$2:$I$190,(MATCH(B49,Data!$B$2:$B$22,0)-1)*9+MATCH("D/S",Parsed!$C$2:$C$10,0)),0)+IF(INDEX(Parsed!$K$2:$K$190,(MATCH(A49,Data!$B$2:$B$22,0)-1)*9+MATCH("True/kind",Parsed!$C$2:$C$10,0))=INDEX(Parsed!$H$2:$H$190,(MATCH(B49,Data!$B$2:$B$22,0)-1)*9+MATCH("True/kind",Parsed!$C$2:$C$10,0)),INDEX(Parsed!$M$2:$M$190,(MATCH(A49,Data!$B$2:$B$22,0)-1)*9+MATCH("True/kind",Parsed!$C$2:$C$10,0))*INDEX(Parsed!$I$2:$I$190,(MATCH(B49,Data!$B$2:$B$22,0)-1)*9+MATCH("True/kind",Parsed!$C$2:$C$10,0)),0)+IF(INDEX(Parsed!$K$2:$K$190,(MATCH(A49,Data!$B$2:$B$22,0)-1)*9+MATCH("Animal",Parsed!$C$2:$C$10,0))=INDEX(Parsed!$H$2:$H$190,(MATCH(B49,Data!$B$2:$B$22,0)-1)*9+MATCH("Animal",Parsed!$C$2:$C$10,0)),INDEX(Parsed!$M$2:$M$190,(MATCH(A49,Data!$B$2:$B$22,0)-1)*9+MATCH("Animal",Parsed!$C$2:$C$10,0))*INDEX(Parsed!$I$2:$I$190,(MATCH(B49,Data!$B$2:$B$22,0)-1)*9+MATCH("Animal",Parsed!$C$2:$C$10,0)),0),0)</x:f>
        <x:v>61.25</x:v>
      </x:c>
      <x:c r="E49" s="11" t="n">
        <x:f>SQRT(C49*D49)</x:f>
        <x:v>58.0409338312195</x:v>
      </x:c>
    </x:row>
    <x:row r="50">
      <x:c r="A50" t="str">
        <x:v>lawrence</x:v>
      </x:c>
      <x:c r="B50" t="str">
        <x:v>lydia</x:v>
      </x:c>
      <x:c r="C50" s="11" t="n">
        <x:f>IFERROR(IF(INDEX(Parsed!$K$2:$K$190,(MATCH(B50,Data!$B$2:$B$22,0)-1)*9+MATCH("God",Parsed!$C$2:$C$10,0))=INDEX(Parsed!$H$2:$H$190,(MATCH(A50,Data!$B$2:$B$22,0)-1)*9+MATCH("God",Parsed!$C$2:$C$10,0)),INDEX(Parsed!$M$2:$M$190,(MATCH(B50,Data!$B$2:$B$22,0)-1)*9+MATCH("God",Parsed!$C$2:$C$10,0))*INDEX(Parsed!$I$2:$I$190,(MATCH(A50,Data!$B$2:$B$22,0)-1)*9+MATCH("God",Parsed!$C$2:$C$10,0)),0)+IF(INDEX(Parsed!$K$2:$K$190,(MATCH(B50,Data!$B$2:$B$22,0)-1)*9+MATCH("Politics",Parsed!$C$2:$C$10,0))=INDEX(Parsed!$H$2:$H$190,(MATCH(A50,Data!$B$2:$B$22,0)-1)*9+MATCH("Politics",Parsed!$C$2:$C$10,0)),INDEX(Parsed!$M$2:$M$190,(MATCH(B50,Data!$B$2:$B$22,0)-1)*9+MATCH("Politics",Parsed!$C$2:$C$10,0))*INDEX(Parsed!$I$2:$I$190,(MATCH(A50,Data!$B$2:$B$22,0)-1)*9+MATCH("Politics",Parsed!$C$2:$C$10,0)),0)+IF(INDEX(Parsed!$K$2:$K$190,(MATCH(B50,Data!$B$2:$B$22,0)-1)*9+MATCH("Marriage",Parsed!$C$2:$C$10,0))=INDEX(Parsed!$H$2:$H$190,(MATCH(A50,Data!$B$2:$B$22,0)-1)*9+MATCH("Marriage",Parsed!$C$2:$C$10,0)),INDEX(Parsed!$M$2:$M$190,(MATCH(B50,Data!$B$2:$B$22,0)-1)*9+MATCH("Marriage",Parsed!$C$2:$C$10,0))*INDEX(Parsed!$I$2:$I$190,(MATCH(A50,Data!$B$2:$B$22,0)-1)*9+MATCH("Marriage",Parsed!$C$2:$C$10,0)),0)+IF(INDEX(Parsed!$K$2:$K$190,(MATCH(B50,Data!$B$2:$B$22,0)-1)*9+MATCH("Children",Parsed!$C$2:$C$10,0))=INDEX(Parsed!$H$2:$H$190,(MATCH(A50,Data!$B$2:$B$22,0)-1)*9+MATCH("Children",Parsed!$C$2:$C$10,0)),INDEX(Parsed!$M$2:$M$190,(MATCH(B50,Data!$B$2:$B$22,0)-1)*9+MATCH("Children",Parsed!$C$2:$C$10,0))*INDEX(Parsed!$I$2:$I$190,(MATCH(A50,Data!$B$2:$B$22,0)-1)*9+MATCH("Children",Parsed!$C$2:$C$10,0)),0)+IF(INDEX(Parsed!$K$2:$K$190,(MATCH(B50,Data!$B$2:$B$22,0)-1)*9+MATCH("Ethicity",Parsed!$C$2:$C$10,0))=INDEX(Parsed!$H$2:$H$190,(MATCH(A50,Data!$B$2:$B$22,0)-1)*9+MATCH("Ethicity",Parsed!$C$2:$C$10,0)),INDEX(Parsed!$M$2:$M$190,(MATCH(B50,Data!$B$2:$B$22,0)-1)*9+MATCH("Ethicity",Parsed!$C$2:$C$10,0))*INDEX(Parsed!$I$2:$I$190,(MATCH(A50,Data!$B$2:$B$22,0)-1)*9+MATCH("Ethicity",Parsed!$C$2:$C$10,0)),0)+IF(INDEX(Parsed!$K$2:$K$190,(MATCH(B50,Data!$B$2:$B$22,0)-1)*9+MATCH("Past",Parsed!$C$2:$C$10,0))=INDEX(Parsed!$H$2:$H$190,(MATCH(A50,Data!$B$2:$B$22,0)-1)*9+MATCH("Past",Parsed!$C$2:$C$10,0)),INDEX(Parsed!$M$2:$M$190,(MATCH(B50,Data!$B$2:$B$22,0)-1)*9+MATCH("Past",Parsed!$C$2:$C$10,0))*INDEX(Parsed!$I$2:$I$190,(MATCH(A50,Data!$B$2:$B$22,0)-1)*9+MATCH("Past",Parsed!$C$2:$C$10,0)),0)+IF(INDEX(Parsed!$K$2:$K$190,(MATCH(B50,Data!$B$2:$B$22,0)-1)*9+MATCH("D/S",Parsed!$C$2:$C$10,0))=INDEX(Parsed!$H$2:$H$190,(MATCH(A50,Data!$B$2:$B$22,0)-1)*9+MATCH("D/S",Parsed!$C$2:$C$10,0)),INDEX(Parsed!$M$2:$M$190,(MATCH(B50,Data!$B$2:$B$22,0)-1)*9+MATCH("D/S",Parsed!$C$2:$C$10,0))*INDEX(Parsed!$I$2:$I$190,(MATCH(A50,Data!$B$2:$B$22,0)-1)*9+MATCH("D/S",Parsed!$C$2:$C$10,0)),0)+IF(INDEX(Parsed!$K$2:$K$190,(MATCH(B50,Data!$B$2:$B$22,0)-1)*9+MATCH("True/kind",Parsed!$C$2:$C$10,0))=INDEX(Parsed!$H$2:$H$190,(MATCH(A50,Data!$B$2:$B$22,0)-1)*9+MATCH("True/kind",Parsed!$C$2:$C$10,0)),INDEX(Parsed!$M$2:$M$190,(MATCH(B50,Data!$B$2:$B$22,0)-1)*9+MATCH("True/kind",Parsed!$C$2:$C$10,0))*INDEX(Parsed!$I$2:$I$190,(MATCH(A50,Data!$B$2:$B$22,0)-1)*9+MATCH("True/kind",Parsed!$C$2:$C$10,0)),0)+IF(INDEX(Parsed!$K$2:$K$190,(MATCH(B50,Data!$B$2:$B$22,0)-1)*9+MATCH("Animal",Parsed!$C$2:$C$10,0))=INDEX(Parsed!$H$2:$H$190,(MATCH(A50,Data!$B$2:$B$22,0)-1)*9+MATCH("Animal",Parsed!$C$2:$C$10,0)),INDEX(Parsed!$M$2:$M$190,(MATCH(B50,Data!$B$2:$B$22,0)-1)*9+MATCH("Animal",Parsed!$C$2:$C$10,0))*INDEX(Parsed!$I$2:$I$190,(MATCH(A50,Data!$B$2:$B$22,0)-1)*9+MATCH("Animal",Parsed!$C$2:$C$10,0)),0),0)</x:f>
        <x:v>26.25</x:v>
      </x:c>
      <x:c r="D50" s="11" t="n">
        <x:f>IFERROR(IF(INDEX(Parsed!$K$2:$K$190,(MATCH(A50,Data!$B$2:$B$22,0)-1)*9+MATCH("God",Parsed!$C$2:$C$10,0))=INDEX(Parsed!$H$2:$H$190,(MATCH(B50,Data!$B$2:$B$22,0)-1)*9+MATCH("God",Parsed!$C$2:$C$10,0)),INDEX(Parsed!$M$2:$M$190,(MATCH(A50,Data!$B$2:$B$22,0)-1)*9+MATCH("God",Parsed!$C$2:$C$10,0))*INDEX(Parsed!$I$2:$I$190,(MATCH(B50,Data!$B$2:$B$22,0)-1)*9+MATCH("God",Parsed!$C$2:$C$10,0)),0)+IF(INDEX(Parsed!$K$2:$K$190,(MATCH(A50,Data!$B$2:$B$22,0)-1)*9+MATCH("Politics",Parsed!$C$2:$C$10,0))=INDEX(Parsed!$H$2:$H$190,(MATCH(B50,Data!$B$2:$B$22,0)-1)*9+MATCH("Politics",Parsed!$C$2:$C$10,0)),INDEX(Parsed!$M$2:$M$190,(MATCH(A50,Data!$B$2:$B$22,0)-1)*9+MATCH("Politics",Parsed!$C$2:$C$10,0))*INDEX(Parsed!$I$2:$I$190,(MATCH(B50,Data!$B$2:$B$22,0)-1)*9+MATCH("Politics",Parsed!$C$2:$C$10,0)),0)+IF(INDEX(Parsed!$K$2:$K$190,(MATCH(A50,Data!$B$2:$B$22,0)-1)*9+MATCH("Marriage",Parsed!$C$2:$C$10,0))=INDEX(Parsed!$H$2:$H$190,(MATCH(B50,Data!$B$2:$B$22,0)-1)*9+MATCH("Marriage",Parsed!$C$2:$C$10,0)),INDEX(Parsed!$M$2:$M$190,(MATCH(A50,Data!$B$2:$B$22,0)-1)*9+MATCH("Marriage",Parsed!$C$2:$C$10,0))*INDEX(Parsed!$I$2:$I$190,(MATCH(B50,Data!$B$2:$B$22,0)-1)*9+MATCH("Marriage",Parsed!$C$2:$C$10,0)),0)+IF(INDEX(Parsed!$K$2:$K$190,(MATCH(A50,Data!$B$2:$B$22,0)-1)*9+MATCH("Children",Parsed!$C$2:$C$10,0))=INDEX(Parsed!$H$2:$H$190,(MATCH(B50,Data!$B$2:$B$22,0)-1)*9+MATCH("Children",Parsed!$C$2:$C$10,0)),INDEX(Parsed!$M$2:$M$190,(MATCH(A50,Data!$B$2:$B$22,0)-1)*9+MATCH("Children",Parsed!$C$2:$C$10,0))*INDEX(Parsed!$I$2:$I$190,(MATCH(B50,Data!$B$2:$B$22,0)-1)*9+MATCH("Children",Parsed!$C$2:$C$10,0)),0)+IF(INDEX(Parsed!$K$2:$K$190,(MATCH(A50,Data!$B$2:$B$22,0)-1)*9+MATCH("Ethicity",Parsed!$C$2:$C$10,0))=INDEX(Parsed!$H$2:$H$190,(MATCH(B50,Data!$B$2:$B$22,0)-1)*9+MATCH("Ethicity",Parsed!$C$2:$C$10,0)),INDEX(Parsed!$M$2:$M$190,(MATCH(A50,Data!$B$2:$B$22,0)-1)*9+MATCH("Ethicity",Parsed!$C$2:$C$10,0))*INDEX(Parsed!$I$2:$I$190,(MATCH(B50,Data!$B$2:$B$22,0)-1)*9+MATCH("Ethicity",Parsed!$C$2:$C$10,0)),0)+IF(INDEX(Parsed!$K$2:$K$190,(MATCH(A50,Data!$B$2:$B$22,0)-1)*9+MATCH("Past",Parsed!$C$2:$C$10,0))=INDEX(Parsed!$H$2:$H$190,(MATCH(B50,Data!$B$2:$B$22,0)-1)*9+MATCH("Past",Parsed!$C$2:$C$10,0)),INDEX(Parsed!$M$2:$M$190,(MATCH(A50,Data!$B$2:$B$22,0)-1)*9+MATCH("Past",Parsed!$C$2:$C$10,0))*INDEX(Parsed!$I$2:$I$190,(MATCH(B50,Data!$B$2:$B$22,0)-1)*9+MATCH("Past",Parsed!$C$2:$C$10,0)),0)+IF(INDEX(Parsed!$K$2:$K$190,(MATCH(A50,Data!$B$2:$B$22,0)-1)*9+MATCH("D/S",Parsed!$C$2:$C$10,0))=INDEX(Parsed!$H$2:$H$190,(MATCH(B50,Data!$B$2:$B$22,0)-1)*9+MATCH("D/S",Parsed!$C$2:$C$10,0)),INDEX(Parsed!$M$2:$M$190,(MATCH(A50,Data!$B$2:$B$22,0)-1)*9+MATCH("D/S",Parsed!$C$2:$C$10,0))*INDEX(Parsed!$I$2:$I$190,(MATCH(B50,Data!$B$2:$B$22,0)-1)*9+MATCH("D/S",Parsed!$C$2:$C$10,0)),0)+IF(INDEX(Parsed!$K$2:$K$190,(MATCH(A50,Data!$B$2:$B$22,0)-1)*9+MATCH("True/kind",Parsed!$C$2:$C$10,0))=INDEX(Parsed!$H$2:$H$190,(MATCH(B50,Data!$B$2:$B$22,0)-1)*9+MATCH("True/kind",Parsed!$C$2:$C$10,0)),INDEX(Parsed!$M$2:$M$190,(MATCH(A50,Data!$B$2:$B$22,0)-1)*9+MATCH("True/kind",Parsed!$C$2:$C$10,0))*INDEX(Parsed!$I$2:$I$190,(MATCH(B50,Data!$B$2:$B$22,0)-1)*9+MATCH("True/kind",Parsed!$C$2:$C$10,0)),0)+IF(INDEX(Parsed!$K$2:$K$190,(MATCH(A50,Data!$B$2:$B$22,0)-1)*9+MATCH("Animal",Parsed!$C$2:$C$10,0))=INDEX(Parsed!$H$2:$H$190,(MATCH(B50,Data!$B$2:$B$22,0)-1)*9+MATCH("Animal",Parsed!$C$2:$C$10,0)),INDEX(Parsed!$M$2:$M$190,(MATCH(A50,Data!$B$2:$B$22,0)-1)*9+MATCH("Animal",Parsed!$C$2:$C$10,0))*INDEX(Parsed!$I$2:$I$190,(MATCH(B50,Data!$B$2:$B$22,0)-1)*9+MATCH("Animal",Parsed!$C$2:$C$10,0)),0),0)</x:f>
        <x:v>58.75</x:v>
      </x:c>
      <x:c r="E50" s="11" t="n">
        <x:f>SQRT(C50*D50)</x:f>
        <x:v>39.27069518101252</x:v>
      </x:c>
    </x:row>
    <x:row r="51">
      <x:c r="A51" t="str">
        <x:v>richard</x:v>
      </x:c>
      <x:c r="B51" t="str">
        <x:v>jasmine</x:v>
      </x:c>
      <x:c r="C51" s="11" t="n">
        <x:f>IFERROR(IF(INDEX(Parsed!$K$2:$K$190,(MATCH(B51,Data!$B$2:$B$22,0)-1)*9+MATCH("God",Parsed!$C$2:$C$10,0))=INDEX(Parsed!$H$2:$H$190,(MATCH(A51,Data!$B$2:$B$22,0)-1)*9+MATCH("God",Parsed!$C$2:$C$10,0)),INDEX(Parsed!$M$2:$M$190,(MATCH(B51,Data!$B$2:$B$22,0)-1)*9+MATCH("God",Parsed!$C$2:$C$10,0))*INDEX(Parsed!$I$2:$I$190,(MATCH(A51,Data!$B$2:$B$22,0)-1)*9+MATCH("God",Parsed!$C$2:$C$10,0)),0)+IF(INDEX(Parsed!$K$2:$K$190,(MATCH(B51,Data!$B$2:$B$22,0)-1)*9+MATCH("Politics",Parsed!$C$2:$C$10,0))=INDEX(Parsed!$H$2:$H$190,(MATCH(A51,Data!$B$2:$B$22,0)-1)*9+MATCH("Politics",Parsed!$C$2:$C$10,0)),INDEX(Parsed!$M$2:$M$190,(MATCH(B51,Data!$B$2:$B$22,0)-1)*9+MATCH("Politics",Parsed!$C$2:$C$10,0))*INDEX(Parsed!$I$2:$I$190,(MATCH(A51,Data!$B$2:$B$22,0)-1)*9+MATCH("Politics",Parsed!$C$2:$C$10,0)),0)+IF(INDEX(Parsed!$K$2:$K$190,(MATCH(B51,Data!$B$2:$B$22,0)-1)*9+MATCH("Marriage",Parsed!$C$2:$C$10,0))=INDEX(Parsed!$H$2:$H$190,(MATCH(A51,Data!$B$2:$B$22,0)-1)*9+MATCH("Marriage",Parsed!$C$2:$C$10,0)),INDEX(Parsed!$M$2:$M$190,(MATCH(B51,Data!$B$2:$B$22,0)-1)*9+MATCH("Marriage",Parsed!$C$2:$C$10,0))*INDEX(Parsed!$I$2:$I$190,(MATCH(A51,Data!$B$2:$B$22,0)-1)*9+MATCH("Marriage",Parsed!$C$2:$C$10,0)),0)+IF(INDEX(Parsed!$K$2:$K$190,(MATCH(B51,Data!$B$2:$B$22,0)-1)*9+MATCH("Children",Parsed!$C$2:$C$10,0))=INDEX(Parsed!$H$2:$H$190,(MATCH(A51,Data!$B$2:$B$22,0)-1)*9+MATCH("Children",Parsed!$C$2:$C$10,0)),INDEX(Parsed!$M$2:$M$190,(MATCH(B51,Data!$B$2:$B$22,0)-1)*9+MATCH("Children",Parsed!$C$2:$C$10,0))*INDEX(Parsed!$I$2:$I$190,(MATCH(A51,Data!$B$2:$B$22,0)-1)*9+MATCH("Children",Parsed!$C$2:$C$10,0)),0)+IF(INDEX(Parsed!$K$2:$K$190,(MATCH(B51,Data!$B$2:$B$22,0)-1)*9+MATCH("Ethicity",Parsed!$C$2:$C$10,0))=INDEX(Parsed!$H$2:$H$190,(MATCH(A51,Data!$B$2:$B$22,0)-1)*9+MATCH("Ethicity",Parsed!$C$2:$C$10,0)),INDEX(Parsed!$M$2:$M$190,(MATCH(B51,Data!$B$2:$B$22,0)-1)*9+MATCH("Ethicity",Parsed!$C$2:$C$10,0))*INDEX(Parsed!$I$2:$I$190,(MATCH(A51,Data!$B$2:$B$22,0)-1)*9+MATCH("Ethicity",Parsed!$C$2:$C$10,0)),0)+IF(INDEX(Parsed!$K$2:$K$190,(MATCH(B51,Data!$B$2:$B$22,0)-1)*9+MATCH("Past",Parsed!$C$2:$C$10,0))=INDEX(Parsed!$H$2:$H$190,(MATCH(A51,Data!$B$2:$B$22,0)-1)*9+MATCH("Past",Parsed!$C$2:$C$10,0)),INDEX(Parsed!$M$2:$M$190,(MATCH(B51,Data!$B$2:$B$22,0)-1)*9+MATCH("Past",Parsed!$C$2:$C$10,0))*INDEX(Parsed!$I$2:$I$190,(MATCH(A51,Data!$B$2:$B$22,0)-1)*9+MATCH("Past",Parsed!$C$2:$C$10,0)),0)+IF(INDEX(Parsed!$K$2:$K$190,(MATCH(B51,Data!$B$2:$B$22,0)-1)*9+MATCH("D/S",Parsed!$C$2:$C$10,0))=INDEX(Parsed!$H$2:$H$190,(MATCH(A51,Data!$B$2:$B$22,0)-1)*9+MATCH("D/S",Parsed!$C$2:$C$10,0)),INDEX(Parsed!$M$2:$M$190,(MATCH(B51,Data!$B$2:$B$22,0)-1)*9+MATCH("D/S",Parsed!$C$2:$C$10,0))*INDEX(Parsed!$I$2:$I$190,(MATCH(A51,Data!$B$2:$B$22,0)-1)*9+MATCH("D/S",Parsed!$C$2:$C$10,0)),0)+IF(INDEX(Parsed!$K$2:$K$190,(MATCH(B51,Data!$B$2:$B$22,0)-1)*9+MATCH("True/kind",Parsed!$C$2:$C$10,0))=INDEX(Parsed!$H$2:$H$190,(MATCH(A51,Data!$B$2:$B$22,0)-1)*9+MATCH("True/kind",Parsed!$C$2:$C$10,0)),INDEX(Parsed!$M$2:$M$190,(MATCH(B51,Data!$B$2:$B$22,0)-1)*9+MATCH("True/kind",Parsed!$C$2:$C$10,0))*INDEX(Parsed!$I$2:$I$190,(MATCH(A51,Data!$B$2:$B$22,0)-1)*9+MATCH("True/kind",Parsed!$C$2:$C$10,0)),0)+IF(INDEX(Parsed!$K$2:$K$190,(MATCH(B51,Data!$B$2:$B$22,0)-1)*9+MATCH("Animal",Parsed!$C$2:$C$10,0))=INDEX(Parsed!$H$2:$H$190,(MATCH(A51,Data!$B$2:$B$22,0)-1)*9+MATCH("Animal",Parsed!$C$2:$C$10,0)),INDEX(Parsed!$M$2:$M$190,(MATCH(B51,Data!$B$2:$B$22,0)-1)*9+MATCH("Animal",Parsed!$C$2:$C$10,0))*INDEX(Parsed!$I$2:$I$190,(MATCH(A51,Data!$B$2:$B$22,0)-1)*9+MATCH("Animal",Parsed!$C$2:$C$10,0)),0),0)</x:f>
        <x:v>76.25</x:v>
      </x:c>
      <x:c r="D51" s="11" t="n">
        <x:f>IFERROR(IF(INDEX(Parsed!$K$2:$K$190,(MATCH(A51,Data!$B$2:$B$22,0)-1)*9+MATCH("God",Parsed!$C$2:$C$10,0))=INDEX(Parsed!$H$2:$H$190,(MATCH(B51,Data!$B$2:$B$22,0)-1)*9+MATCH("God",Parsed!$C$2:$C$10,0)),INDEX(Parsed!$M$2:$M$190,(MATCH(A51,Data!$B$2:$B$22,0)-1)*9+MATCH("God",Parsed!$C$2:$C$10,0))*INDEX(Parsed!$I$2:$I$190,(MATCH(B51,Data!$B$2:$B$22,0)-1)*9+MATCH("God",Parsed!$C$2:$C$10,0)),0)+IF(INDEX(Parsed!$K$2:$K$190,(MATCH(A51,Data!$B$2:$B$22,0)-1)*9+MATCH("Politics",Parsed!$C$2:$C$10,0))=INDEX(Parsed!$H$2:$H$190,(MATCH(B51,Data!$B$2:$B$22,0)-1)*9+MATCH("Politics",Parsed!$C$2:$C$10,0)),INDEX(Parsed!$M$2:$M$190,(MATCH(A51,Data!$B$2:$B$22,0)-1)*9+MATCH("Politics",Parsed!$C$2:$C$10,0))*INDEX(Parsed!$I$2:$I$190,(MATCH(B51,Data!$B$2:$B$22,0)-1)*9+MATCH("Politics",Parsed!$C$2:$C$10,0)),0)+IF(INDEX(Parsed!$K$2:$K$190,(MATCH(A51,Data!$B$2:$B$22,0)-1)*9+MATCH("Marriage",Parsed!$C$2:$C$10,0))=INDEX(Parsed!$H$2:$H$190,(MATCH(B51,Data!$B$2:$B$22,0)-1)*9+MATCH("Marriage",Parsed!$C$2:$C$10,0)),INDEX(Parsed!$M$2:$M$190,(MATCH(A51,Data!$B$2:$B$22,0)-1)*9+MATCH("Marriage",Parsed!$C$2:$C$10,0))*INDEX(Parsed!$I$2:$I$190,(MATCH(B51,Data!$B$2:$B$22,0)-1)*9+MATCH("Marriage",Parsed!$C$2:$C$10,0)),0)+IF(INDEX(Parsed!$K$2:$K$190,(MATCH(A51,Data!$B$2:$B$22,0)-1)*9+MATCH("Children",Parsed!$C$2:$C$10,0))=INDEX(Parsed!$H$2:$H$190,(MATCH(B51,Data!$B$2:$B$22,0)-1)*9+MATCH("Children",Parsed!$C$2:$C$10,0)),INDEX(Parsed!$M$2:$M$190,(MATCH(A51,Data!$B$2:$B$22,0)-1)*9+MATCH("Children",Parsed!$C$2:$C$10,0))*INDEX(Parsed!$I$2:$I$190,(MATCH(B51,Data!$B$2:$B$22,0)-1)*9+MATCH("Children",Parsed!$C$2:$C$10,0)),0)+IF(INDEX(Parsed!$K$2:$K$190,(MATCH(A51,Data!$B$2:$B$22,0)-1)*9+MATCH("Ethicity",Parsed!$C$2:$C$10,0))=INDEX(Parsed!$H$2:$H$190,(MATCH(B51,Data!$B$2:$B$22,0)-1)*9+MATCH("Ethicity",Parsed!$C$2:$C$10,0)),INDEX(Parsed!$M$2:$M$190,(MATCH(A51,Data!$B$2:$B$22,0)-1)*9+MATCH("Ethicity",Parsed!$C$2:$C$10,0))*INDEX(Parsed!$I$2:$I$190,(MATCH(B51,Data!$B$2:$B$22,0)-1)*9+MATCH("Ethicity",Parsed!$C$2:$C$10,0)),0)+IF(INDEX(Parsed!$K$2:$K$190,(MATCH(A51,Data!$B$2:$B$22,0)-1)*9+MATCH("Past",Parsed!$C$2:$C$10,0))=INDEX(Parsed!$H$2:$H$190,(MATCH(B51,Data!$B$2:$B$22,0)-1)*9+MATCH("Past",Parsed!$C$2:$C$10,0)),INDEX(Parsed!$M$2:$M$190,(MATCH(A51,Data!$B$2:$B$22,0)-1)*9+MATCH("Past",Parsed!$C$2:$C$10,0))*INDEX(Parsed!$I$2:$I$190,(MATCH(B51,Data!$B$2:$B$22,0)-1)*9+MATCH("Past",Parsed!$C$2:$C$10,0)),0)+IF(INDEX(Parsed!$K$2:$K$190,(MATCH(A51,Data!$B$2:$B$22,0)-1)*9+MATCH("D/S",Parsed!$C$2:$C$10,0))=INDEX(Parsed!$H$2:$H$190,(MATCH(B51,Data!$B$2:$B$22,0)-1)*9+MATCH("D/S",Parsed!$C$2:$C$10,0)),INDEX(Parsed!$M$2:$M$190,(MATCH(A51,Data!$B$2:$B$22,0)-1)*9+MATCH("D/S",Parsed!$C$2:$C$10,0))*INDEX(Parsed!$I$2:$I$190,(MATCH(B51,Data!$B$2:$B$22,0)-1)*9+MATCH("D/S",Parsed!$C$2:$C$10,0)),0)+IF(INDEX(Parsed!$K$2:$K$190,(MATCH(A51,Data!$B$2:$B$22,0)-1)*9+MATCH("True/kind",Parsed!$C$2:$C$10,0))=INDEX(Parsed!$H$2:$H$190,(MATCH(B51,Data!$B$2:$B$22,0)-1)*9+MATCH("True/kind",Parsed!$C$2:$C$10,0)),INDEX(Parsed!$M$2:$M$190,(MATCH(A51,Data!$B$2:$B$22,0)-1)*9+MATCH("True/kind",Parsed!$C$2:$C$10,0))*INDEX(Parsed!$I$2:$I$190,(MATCH(B51,Data!$B$2:$B$22,0)-1)*9+MATCH("True/kind",Parsed!$C$2:$C$10,0)),0)+IF(INDEX(Parsed!$K$2:$K$190,(MATCH(A51,Data!$B$2:$B$22,0)-1)*9+MATCH("Animal",Parsed!$C$2:$C$10,0))=INDEX(Parsed!$H$2:$H$190,(MATCH(B51,Data!$B$2:$B$22,0)-1)*9+MATCH("Animal",Parsed!$C$2:$C$10,0)),INDEX(Parsed!$M$2:$M$190,(MATCH(A51,Data!$B$2:$B$22,0)-1)*9+MATCH("Animal",Parsed!$C$2:$C$10,0))*INDEX(Parsed!$I$2:$I$190,(MATCH(B51,Data!$B$2:$B$22,0)-1)*9+MATCH("Animal",Parsed!$C$2:$C$10,0)),0),0)</x:f>
        <x:v>37.5</x:v>
      </x:c>
      <x:c r="E51" s="11" t="n">
        <x:f>SQRT(C51*D51)</x:f>
        <x:v>53.473124090518596</x:v>
      </x:c>
    </x:row>
    <x:row r="52">
      <x:c r="A52" t="str">
        <x:v>richard</x:v>
      </x:c>
      <x:c r="B52" t="str">
        <x:v>cathleen</x:v>
      </x:c>
      <x:c r="C52" s="11" t="n">
        <x:f>IFERROR(IF(INDEX(Parsed!$K$2:$K$190,(MATCH(B52,Data!$B$2:$B$22,0)-1)*9+MATCH("God",Parsed!$C$2:$C$10,0))=INDEX(Parsed!$H$2:$H$190,(MATCH(A52,Data!$B$2:$B$22,0)-1)*9+MATCH("God",Parsed!$C$2:$C$10,0)),INDEX(Parsed!$M$2:$M$190,(MATCH(B52,Data!$B$2:$B$22,0)-1)*9+MATCH("God",Parsed!$C$2:$C$10,0))*INDEX(Parsed!$I$2:$I$190,(MATCH(A52,Data!$B$2:$B$22,0)-1)*9+MATCH("God",Parsed!$C$2:$C$10,0)),0)+IF(INDEX(Parsed!$K$2:$K$190,(MATCH(B52,Data!$B$2:$B$22,0)-1)*9+MATCH("Politics",Parsed!$C$2:$C$10,0))=INDEX(Parsed!$H$2:$H$190,(MATCH(A52,Data!$B$2:$B$22,0)-1)*9+MATCH("Politics",Parsed!$C$2:$C$10,0)),INDEX(Parsed!$M$2:$M$190,(MATCH(B52,Data!$B$2:$B$22,0)-1)*9+MATCH("Politics",Parsed!$C$2:$C$10,0))*INDEX(Parsed!$I$2:$I$190,(MATCH(A52,Data!$B$2:$B$22,0)-1)*9+MATCH("Politics",Parsed!$C$2:$C$10,0)),0)+IF(INDEX(Parsed!$K$2:$K$190,(MATCH(B52,Data!$B$2:$B$22,0)-1)*9+MATCH("Marriage",Parsed!$C$2:$C$10,0))=INDEX(Parsed!$H$2:$H$190,(MATCH(A52,Data!$B$2:$B$22,0)-1)*9+MATCH("Marriage",Parsed!$C$2:$C$10,0)),INDEX(Parsed!$M$2:$M$190,(MATCH(B52,Data!$B$2:$B$22,0)-1)*9+MATCH("Marriage",Parsed!$C$2:$C$10,0))*INDEX(Parsed!$I$2:$I$190,(MATCH(A52,Data!$B$2:$B$22,0)-1)*9+MATCH("Marriage",Parsed!$C$2:$C$10,0)),0)+IF(INDEX(Parsed!$K$2:$K$190,(MATCH(B52,Data!$B$2:$B$22,0)-1)*9+MATCH("Children",Parsed!$C$2:$C$10,0))=INDEX(Parsed!$H$2:$H$190,(MATCH(A52,Data!$B$2:$B$22,0)-1)*9+MATCH("Children",Parsed!$C$2:$C$10,0)),INDEX(Parsed!$M$2:$M$190,(MATCH(B52,Data!$B$2:$B$22,0)-1)*9+MATCH("Children",Parsed!$C$2:$C$10,0))*INDEX(Parsed!$I$2:$I$190,(MATCH(A52,Data!$B$2:$B$22,0)-1)*9+MATCH("Children",Parsed!$C$2:$C$10,0)),0)+IF(INDEX(Parsed!$K$2:$K$190,(MATCH(B52,Data!$B$2:$B$22,0)-1)*9+MATCH("Ethicity",Parsed!$C$2:$C$10,0))=INDEX(Parsed!$H$2:$H$190,(MATCH(A52,Data!$B$2:$B$22,0)-1)*9+MATCH("Ethicity",Parsed!$C$2:$C$10,0)),INDEX(Parsed!$M$2:$M$190,(MATCH(B52,Data!$B$2:$B$22,0)-1)*9+MATCH("Ethicity",Parsed!$C$2:$C$10,0))*INDEX(Parsed!$I$2:$I$190,(MATCH(A52,Data!$B$2:$B$22,0)-1)*9+MATCH("Ethicity",Parsed!$C$2:$C$10,0)),0)+IF(INDEX(Parsed!$K$2:$K$190,(MATCH(B52,Data!$B$2:$B$22,0)-1)*9+MATCH("Past",Parsed!$C$2:$C$10,0))=INDEX(Parsed!$H$2:$H$190,(MATCH(A52,Data!$B$2:$B$22,0)-1)*9+MATCH("Past",Parsed!$C$2:$C$10,0)),INDEX(Parsed!$M$2:$M$190,(MATCH(B52,Data!$B$2:$B$22,0)-1)*9+MATCH("Past",Parsed!$C$2:$C$10,0))*INDEX(Parsed!$I$2:$I$190,(MATCH(A52,Data!$B$2:$B$22,0)-1)*9+MATCH("Past",Parsed!$C$2:$C$10,0)),0)+IF(INDEX(Parsed!$K$2:$K$190,(MATCH(B52,Data!$B$2:$B$22,0)-1)*9+MATCH("D/S",Parsed!$C$2:$C$10,0))=INDEX(Parsed!$H$2:$H$190,(MATCH(A52,Data!$B$2:$B$22,0)-1)*9+MATCH("D/S",Parsed!$C$2:$C$10,0)),INDEX(Parsed!$M$2:$M$190,(MATCH(B52,Data!$B$2:$B$22,0)-1)*9+MATCH("D/S",Parsed!$C$2:$C$10,0))*INDEX(Parsed!$I$2:$I$190,(MATCH(A52,Data!$B$2:$B$22,0)-1)*9+MATCH("D/S",Parsed!$C$2:$C$10,0)),0)+IF(INDEX(Parsed!$K$2:$K$190,(MATCH(B52,Data!$B$2:$B$22,0)-1)*9+MATCH("True/kind",Parsed!$C$2:$C$10,0))=INDEX(Parsed!$H$2:$H$190,(MATCH(A52,Data!$B$2:$B$22,0)-1)*9+MATCH("True/kind",Parsed!$C$2:$C$10,0)),INDEX(Parsed!$M$2:$M$190,(MATCH(B52,Data!$B$2:$B$22,0)-1)*9+MATCH("True/kind",Parsed!$C$2:$C$10,0))*INDEX(Parsed!$I$2:$I$190,(MATCH(A52,Data!$B$2:$B$22,0)-1)*9+MATCH("True/kind",Parsed!$C$2:$C$10,0)),0)+IF(INDEX(Parsed!$K$2:$K$190,(MATCH(B52,Data!$B$2:$B$22,0)-1)*9+MATCH("Animal",Parsed!$C$2:$C$10,0))=INDEX(Parsed!$H$2:$H$190,(MATCH(A52,Data!$B$2:$B$22,0)-1)*9+MATCH("Animal",Parsed!$C$2:$C$10,0)),INDEX(Parsed!$M$2:$M$190,(MATCH(B52,Data!$B$2:$B$22,0)-1)*9+MATCH("Animal",Parsed!$C$2:$C$10,0))*INDEX(Parsed!$I$2:$I$190,(MATCH(A52,Data!$B$2:$B$22,0)-1)*9+MATCH("Animal",Parsed!$C$2:$C$10,0)),0),0)</x:f>
        <x:v>32.5</x:v>
      </x:c>
      <x:c r="D52" s="11" t="n">
        <x:f>IFERROR(IF(INDEX(Parsed!$K$2:$K$190,(MATCH(A52,Data!$B$2:$B$22,0)-1)*9+MATCH("God",Parsed!$C$2:$C$10,0))=INDEX(Parsed!$H$2:$H$190,(MATCH(B52,Data!$B$2:$B$22,0)-1)*9+MATCH("God",Parsed!$C$2:$C$10,0)),INDEX(Parsed!$M$2:$M$190,(MATCH(A52,Data!$B$2:$B$22,0)-1)*9+MATCH("God",Parsed!$C$2:$C$10,0))*INDEX(Parsed!$I$2:$I$190,(MATCH(B52,Data!$B$2:$B$22,0)-1)*9+MATCH("God",Parsed!$C$2:$C$10,0)),0)+IF(INDEX(Parsed!$K$2:$K$190,(MATCH(A52,Data!$B$2:$B$22,0)-1)*9+MATCH("Politics",Parsed!$C$2:$C$10,0))=INDEX(Parsed!$H$2:$H$190,(MATCH(B52,Data!$B$2:$B$22,0)-1)*9+MATCH("Politics",Parsed!$C$2:$C$10,0)),INDEX(Parsed!$M$2:$M$190,(MATCH(A52,Data!$B$2:$B$22,0)-1)*9+MATCH("Politics",Parsed!$C$2:$C$10,0))*INDEX(Parsed!$I$2:$I$190,(MATCH(B52,Data!$B$2:$B$22,0)-1)*9+MATCH("Politics",Parsed!$C$2:$C$10,0)),0)+IF(INDEX(Parsed!$K$2:$K$190,(MATCH(A52,Data!$B$2:$B$22,0)-1)*9+MATCH("Marriage",Parsed!$C$2:$C$10,0))=INDEX(Parsed!$H$2:$H$190,(MATCH(B52,Data!$B$2:$B$22,0)-1)*9+MATCH("Marriage",Parsed!$C$2:$C$10,0)),INDEX(Parsed!$M$2:$M$190,(MATCH(A52,Data!$B$2:$B$22,0)-1)*9+MATCH("Marriage",Parsed!$C$2:$C$10,0))*INDEX(Parsed!$I$2:$I$190,(MATCH(B52,Data!$B$2:$B$22,0)-1)*9+MATCH("Marriage",Parsed!$C$2:$C$10,0)),0)+IF(INDEX(Parsed!$K$2:$K$190,(MATCH(A52,Data!$B$2:$B$22,0)-1)*9+MATCH("Children",Parsed!$C$2:$C$10,0))=INDEX(Parsed!$H$2:$H$190,(MATCH(B52,Data!$B$2:$B$22,0)-1)*9+MATCH("Children",Parsed!$C$2:$C$10,0)),INDEX(Parsed!$M$2:$M$190,(MATCH(A52,Data!$B$2:$B$22,0)-1)*9+MATCH("Children",Parsed!$C$2:$C$10,0))*INDEX(Parsed!$I$2:$I$190,(MATCH(B52,Data!$B$2:$B$22,0)-1)*9+MATCH("Children",Parsed!$C$2:$C$10,0)),0)+IF(INDEX(Parsed!$K$2:$K$190,(MATCH(A52,Data!$B$2:$B$22,0)-1)*9+MATCH("Ethicity",Parsed!$C$2:$C$10,0))=INDEX(Parsed!$H$2:$H$190,(MATCH(B52,Data!$B$2:$B$22,0)-1)*9+MATCH("Ethicity",Parsed!$C$2:$C$10,0)),INDEX(Parsed!$M$2:$M$190,(MATCH(A52,Data!$B$2:$B$22,0)-1)*9+MATCH("Ethicity",Parsed!$C$2:$C$10,0))*INDEX(Parsed!$I$2:$I$190,(MATCH(B52,Data!$B$2:$B$22,0)-1)*9+MATCH("Ethicity",Parsed!$C$2:$C$10,0)),0)+IF(INDEX(Parsed!$K$2:$K$190,(MATCH(A52,Data!$B$2:$B$22,0)-1)*9+MATCH("Past",Parsed!$C$2:$C$10,0))=INDEX(Parsed!$H$2:$H$190,(MATCH(B52,Data!$B$2:$B$22,0)-1)*9+MATCH("Past",Parsed!$C$2:$C$10,0)),INDEX(Parsed!$M$2:$M$190,(MATCH(A52,Data!$B$2:$B$22,0)-1)*9+MATCH("Past",Parsed!$C$2:$C$10,0))*INDEX(Parsed!$I$2:$I$190,(MATCH(B52,Data!$B$2:$B$22,0)-1)*9+MATCH("Past",Parsed!$C$2:$C$10,0)),0)+IF(INDEX(Parsed!$K$2:$K$190,(MATCH(A52,Data!$B$2:$B$22,0)-1)*9+MATCH("D/S",Parsed!$C$2:$C$10,0))=INDEX(Parsed!$H$2:$H$190,(MATCH(B52,Data!$B$2:$B$22,0)-1)*9+MATCH("D/S",Parsed!$C$2:$C$10,0)),INDEX(Parsed!$M$2:$M$190,(MATCH(A52,Data!$B$2:$B$22,0)-1)*9+MATCH("D/S",Parsed!$C$2:$C$10,0))*INDEX(Parsed!$I$2:$I$190,(MATCH(B52,Data!$B$2:$B$22,0)-1)*9+MATCH("D/S",Parsed!$C$2:$C$10,0)),0)+IF(INDEX(Parsed!$K$2:$K$190,(MATCH(A52,Data!$B$2:$B$22,0)-1)*9+MATCH("True/kind",Parsed!$C$2:$C$10,0))=INDEX(Parsed!$H$2:$H$190,(MATCH(B52,Data!$B$2:$B$22,0)-1)*9+MATCH("True/kind",Parsed!$C$2:$C$10,0)),INDEX(Parsed!$M$2:$M$190,(MATCH(A52,Data!$B$2:$B$22,0)-1)*9+MATCH("True/kind",Parsed!$C$2:$C$10,0))*INDEX(Parsed!$I$2:$I$190,(MATCH(B52,Data!$B$2:$B$22,0)-1)*9+MATCH("True/kind",Parsed!$C$2:$C$10,0)),0)+IF(INDEX(Parsed!$K$2:$K$190,(MATCH(A52,Data!$B$2:$B$22,0)-1)*9+MATCH("Animal",Parsed!$C$2:$C$10,0))=INDEX(Parsed!$H$2:$H$190,(MATCH(B52,Data!$B$2:$B$22,0)-1)*9+MATCH("Animal",Parsed!$C$2:$C$10,0)),INDEX(Parsed!$M$2:$M$190,(MATCH(A52,Data!$B$2:$B$22,0)-1)*9+MATCH("Animal",Parsed!$C$2:$C$10,0))*INDEX(Parsed!$I$2:$I$190,(MATCH(B52,Data!$B$2:$B$22,0)-1)*9+MATCH("Animal",Parsed!$C$2:$C$10,0)),0),0)</x:f>
        <x:v>57.5</x:v>
      </x:c>
      <x:c r="E52" s="11" t="n">
        <x:f>SQRT(C52*D52)</x:f>
        <x:v>43.229041164476456</x:v>
      </x:c>
    </x:row>
    <x:row r="53">
      <x:c r="A53" t="str">
        <x:v>richard</x:v>
      </x:c>
      <x:c r="B53" t="str">
        <x:v>edith</x:v>
      </x:c>
      <x:c r="C53" s="11" t="n">
        <x:f>IFERROR(IF(INDEX(Parsed!$K$2:$K$190,(MATCH(B53,Data!$B$2:$B$22,0)-1)*9+MATCH("God",Parsed!$C$2:$C$10,0))=INDEX(Parsed!$H$2:$H$190,(MATCH(A53,Data!$B$2:$B$22,0)-1)*9+MATCH("God",Parsed!$C$2:$C$10,0)),INDEX(Parsed!$M$2:$M$190,(MATCH(B53,Data!$B$2:$B$22,0)-1)*9+MATCH("God",Parsed!$C$2:$C$10,0))*INDEX(Parsed!$I$2:$I$190,(MATCH(A53,Data!$B$2:$B$22,0)-1)*9+MATCH("God",Parsed!$C$2:$C$10,0)),0)+IF(INDEX(Parsed!$K$2:$K$190,(MATCH(B53,Data!$B$2:$B$22,0)-1)*9+MATCH("Politics",Parsed!$C$2:$C$10,0))=INDEX(Parsed!$H$2:$H$190,(MATCH(A53,Data!$B$2:$B$22,0)-1)*9+MATCH("Politics",Parsed!$C$2:$C$10,0)),INDEX(Parsed!$M$2:$M$190,(MATCH(B53,Data!$B$2:$B$22,0)-1)*9+MATCH("Politics",Parsed!$C$2:$C$10,0))*INDEX(Parsed!$I$2:$I$190,(MATCH(A53,Data!$B$2:$B$22,0)-1)*9+MATCH("Politics",Parsed!$C$2:$C$10,0)),0)+IF(INDEX(Parsed!$K$2:$K$190,(MATCH(B53,Data!$B$2:$B$22,0)-1)*9+MATCH("Marriage",Parsed!$C$2:$C$10,0))=INDEX(Parsed!$H$2:$H$190,(MATCH(A53,Data!$B$2:$B$22,0)-1)*9+MATCH("Marriage",Parsed!$C$2:$C$10,0)),INDEX(Parsed!$M$2:$M$190,(MATCH(B53,Data!$B$2:$B$22,0)-1)*9+MATCH("Marriage",Parsed!$C$2:$C$10,0))*INDEX(Parsed!$I$2:$I$190,(MATCH(A53,Data!$B$2:$B$22,0)-1)*9+MATCH("Marriage",Parsed!$C$2:$C$10,0)),0)+IF(INDEX(Parsed!$K$2:$K$190,(MATCH(B53,Data!$B$2:$B$22,0)-1)*9+MATCH("Children",Parsed!$C$2:$C$10,0))=INDEX(Parsed!$H$2:$H$190,(MATCH(A53,Data!$B$2:$B$22,0)-1)*9+MATCH("Children",Parsed!$C$2:$C$10,0)),INDEX(Parsed!$M$2:$M$190,(MATCH(B53,Data!$B$2:$B$22,0)-1)*9+MATCH("Children",Parsed!$C$2:$C$10,0))*INDEX(Parsed!$I$2:$I$190,(MATCH(A53,Data!$B$2:$B$22,0)-1)*9+MATCH("Children",Parsed!$C$2:$C$10,0)),0)+IF(INDEX(Parsed!$K$2:$K$190,(MATCH(B53,Data!$B$2:$B$22,0)-1)*9+MATCH("Ethicity",Parsed!$C$2:$C$10,0))=INDEX(Parsed!$H$2:$H$190,(MATCH(A53,Data!$B$2:$B$22,0)-1)*9+MATCH("Ethicity",Parsed!$C$2:$C$10,0)),INDEX(Parsed!$M$2:$M$190,(MATCH(B53,Data!$B$2:$B$22,0)-1)*9+MATCH("Ethicity",Parsed!$C$2:$C$10,0))*INDEX(Parsed!$I$2:$I$190,(MATCH(A53,Data!$B$2:$B$22,0)-1)*9+MATCH("Ethicity",Parsed!$C$2:$C$10,0)),0)+IF(INDEX(Parsed!$K$2:$K$190,(MATCH(B53,Data!$B$2:$B$22,0)-1)*9+MATCH("Past",Parsed!$C$2:$C$10,0))=INDEX(Parsed!$H$2:$H$190,(MATCH(A53,Data!$B$2:$B$22,0)-1)*9+MATCH("Past",Parsed!$C$2:$C$10,0)),INDEX(Parsed!$M$2:$M$190,(MATCH(B53,Data!$B$2:$B$22,0)-1)*9+MATCH("Past",Parsed!$C$2:$C$10,0))*INDEX(Parsed!$I$2:$I$190,(MATCH(A53,Data!$B$2:$B$22,0)-1)*9+MATCH("Past",Parsed!$C$2:$C$10,0)),0)+IF(INDEX(Parsed!$K$2:$K$190,(MATCH(B53,Data!$B$2:$B$22,0)-1)*9+MATCH("D/S",Parsed!$C$2:$C$10,0))=INDEX(Parsed!$H$2:$H$190,(MATCH(A53,Data!$B$2:$B$22,0)-1)*9+MATCH("D/S",Parsed!$C$2:$C$10,0)),INDEX(Parsed!$M$2:$M$190,(MATCH(B53,Data!$B$2:$B$22,0)-1)*9+MATCH("D/S",Parsed!$C$2:$C$10,0))*INDEX(Parsed!$I$2:$I$190,(MATCH(A53,Data!$B$2:$B$22,0)-1)*9+MATCH("D/S",Parsed!$C$2:$C$10,0)),0)+IF(INDEX(Parsed!$K$2:$K$190,(MATCH(B53,Data!$B$2:$B$22,0)-1)*9+MATCH("True/kind",Parsed!$C$2:$C$10,0))=INDEX(Parsed!$H$2:$H$190,(MATCH(A53,Data!$B$2:$B$22,0)-1)*9+MATCH("True/kind",Parsed!$C$2:$C$10,0)),INDEX(Parsed!$M$2:$M$190,(MATCH(B53,Data!$B$2:$B$22,0)-1)*9+MATCH("True/kind",Parsed!$C$2:$C$10,0))*INDEX(Parsed!$I$2:$I$190,(MATCH(A53,Data!$B$2:$B$22,0)-1)*9+MATCH("True/kind",Parsed!$C$2:$C$10,0)),0)+IF(INDEX(Parsed!$K$2:$K$190,(MATCH(B53,Data!$B$2:$B$22,0)-1)*9+MATCH("Animal",Parsed!$C$2:$C$10,0))=INDEX(Parsed!$H$2:$H$190,(MATCH(A53,Data!$B$2:$B$22,0)-1)*9+MATCH("Animal",Parsed!$C$2:$C$10,0)),INDEX(Parsed!$M$2:$M$190,(MATCH(B53,Data!$B$2:$B$22,0)-1)*9+MATCH("Animal",Parsed!$C$2:$C$10,0))*INDEX(Parsed!$I$2:$I$190,(MATCH(A53,Data!$B$2:$B$22,0)-1)*9+MATCH("Animal",Parsed!$C$2:$C$10,0)),0),0)</x:f>
        <x:v>83.75</x:v>
      </x:c>
      <x:c r="D53" s="11" t="n">
        <x:f>IFERROR(IF(INDEX(Parsed!$K$2:$K$190,(MATCH(A53,Data!$B$2:$B$22,0)-1)*9+MATCH("God",Parsed!$C$2:$C$10,0))=INDEX(Parsed!$H$2:$H$190,(MATCH(B53,Data!$B$2:$B$22,0)-1)*9+MATCH("God",Parsed!$C$2:$C$10,0)),INDEX(Parsed!$M$2:$M$190,(MATCH(A53,Data!$B$2:$B$22,0)-1)*9+MATCH("God",Parsed!$C$2:$C$10,0))*INDEX(Parsed!$I$2:$I$190,(MATCH(B53,Data!$B$2:$B$22,0)-1)*9+MATCH("God",Parsed!$C$2:$C$10,0)),0)+IF(INDEX(Parsed!$K$2:$K$190,(MATCH(A53,Data!$B$2:$B$22,0)-1)*9+MATCH("Politics",Parsed!$C$2:$C$10,0))=INDEX(Parsed!$H$2:$H$190,(MATCH(B53,Data!$B$2:$B$22,0)-1)*9+MATCH("Politics",Parsed!$C$2:$C$10,0)),INDEX(Parsed!$M$2:$M$190,(MATCH(A53,Data!$B$2:$B$22,0)-1)*9+MATCH("Politics",Parsed!$C$2:$C$10,0))*INDEX(Parsed!$I$2:$I$190,(MATCH(B53,Data!$B$2:$B$22,0)-1)*9+MATCH("Politics",Parsed!$C$2:$C$10,0)),0)+IF(INDEX(Parsed!$K$2:$K$190,(MATCH(A53,Data!$B$2:$B$22,0)-1)*9+MATCH("Marriage",Parsed!$C$2:$C$10,0))=INDEX(Parsed!$H$2:$H$190,(MATCH(B53,Data!$B$2:$B$22,0)-1)*9+MATCH("Marriage",Parsed!$C$2:$C$10,0)),INDEX(Parsed!$M$2:$M$190,(MATCH(A53,Data!$B$2:$B$22,0)-1)*9+MATCH("Marriage",Parsed!$C$2:$C$10,0))*INDEX(Parsed!$I$2:$I$190,(MATCH(B53,Data!$B$2:$B$22,0)-1)*9+MATCH("Marriage",Parsed!$C$2:$C$10,0)),0)+IF(INDEX(Parsed!$K$2:$K$190,(MATCH(A53,Data!$B$2:$B$22,0)-1)*9+MATCH("Children",Parsed!$C$2:$C$10,0))=INDEX(Parsed!$H$2:$H$190,(MATCH(B53,Data!$B$2:$B$22,0)-1)*9+MATCH("Children",Parsed!$C$2:$C$10,0)),INDEX(Parsed!$M$2:$M$190,(MATCH(A53,Data!$B$2:$B$22,0)-1)*9+MATCH("Children",Parsed!$C$2:$C$10,0))*INDEX(Parsed!$I$2:$I$190,(MATCH(B53,Data!$B$2:$B$22,0)-1)*9+MATCH("Children",Parsed!$C$2:$C$10,0)),0)+IF(INDEX(Parsed!$K$2:$K$190,(MATCH(A53,Data!$B$2:$B$22,0)-1)*9+MATCH("Ethicity",Parsed!$C$2:$C$10,0))=INDEX(Parsed!$H$2:$H$190,(MATCH(B53,Data!$B$2:$B$22,0)-1)*9+MATCH("Ethicity",Parsed!$C$2:$C$10,0)),INDEX(Parsed!$M$2:$M$190,(MATCH(A53,Data!$B$2:$B$22,0)-1)*9+MATCH("Ethicity",Parsed!$C$2:$C$10,0))*INDEX(Parsed!$I$2:$I$190,(MATCH(B53,Data!$B$2:$B$22,0)-1)*9+MATCH("Ethicity",Parsed!$C$2:$C$10,0)),0)+IF(INDEX(Parsed!$K$2:$K$190,(MATCH(A53,Data!$B$2:$B$22,0)-1)*9+MATCH("Past",Parsed!$C$2:$C$10,0))=INDEX(Parsed!$H$2:$H$190,(MATCH(B53,Data!$B$2:$B$22,0)-1)*9+MATCH("Past",Parsed!$C$2:$C$10,0)),INDEX(Parsed!$M$2:$M$190,(MATCH(A53,Data!$B$2:$B$22,0)-1)*9+MATCH("Past",Parsed!$C$2:$C$10,0))*INDEX(Parsed!$I$2:$I$190,(MATCH(B53,Data!$B$2:$B$22,0)-1)*9+MATCH("Past",Parsed!$C$2:$C$10,0)),0)+IF(INDEX(Parsed!$K$2:$K$190,(MATCH(A53,Data!$B$2:$B$22,0)-1)*9+MATCH("D/S",Parsed!$C$2:$C$10,0))=INDEX(Parsed!$H$2:$H$190,(MATCH(B53,Data!$B$2:$B$22,0)-1)*9+MATCH("D/S",Parsed!$C$2:$C$10,0)),INDEX(Parsed!$M$2:$M$190,(MATCH(A53,Data!$B$2:$B$22,0)-1)*9+MATCH("D/S",Parsed!$C$2:$C$10,0))*INDEX(Parsed!$I$2:$I$190,(MATCH(B53,Data!$B$2:$B$22,0)-1)*9+MATCH("D/S",Parsed!$C$2:$C$10,0)),0)+IF(INDEX(Parsed!$K$2:$K$190,(MATCH(A53,Data!$B$2:$B$22,0)-1)*9+MATCH("True/kind",Parsed!$C$2:$C$10,0))=INDEX(Parsed!$H$2:$H$190,(MATCH(B53,Data!$B$2:$B$22,0)-1)*9+MATCH("True/kind",Parsed!$C$2:$C$10,0)),INDEX(Parsed!$M$2:$M$190,(MATCH(A53,Data!$B$2:$B$22,0)-1)*9+MATCH("True/kind",Parsed!$C$2:$C$10,0))*INDEX(Parsed!$I$2:$I$190,(MATCH(B53,Data!$B$2:$B$22,0)-1)*9+MATCH("True/kind",Parsed!$C$2:$C$10,0)),0)+IF(INDEX(Parsed!$K$2:$K$190,(MATCH(A53,Data!$B$2:$B$22,0)-1)*9+MATCH("Animal",Parsed!$C$2:$C$10,0))=INDEX(Parsed!$H$2:$H$190,(MATCH(B53,Data!$B$2:$B$22,0)-1)*9+MATCH("Animal",Parsed!$C$2:$C$10,0)),INDEX(Parsed!$M$2:$M$190,(MATCH(A53,Data!$B$2:$B$22,0)-1)*9+MATCH("Animal",Parsed!$C$2:$C$10,0))*INDEX(Parsed!$I$2:$I$190,(MATCH(B53,Data!$B$2:$B$22,0)-1)*9+MATCH("Animal",Parsed!$C$2:$C$10,0)),0),0)</x:f>
        <x:v>55</x:v>
      </x:c>
      <x:c r="E53" s="11" t="n">
        <x:f>SQRT(C53*D53)</x:f>
        <x:v>67.86935980249113</x:v>
      </x:c>
    </x:row>
    <x:row r="54">
      <x:c r="A54" t="str">
        <x:v>richard</x:v>
      </x:c>
      <x:c r="B54" t="str">
        <x:v>sophiah</x:v>
      </x:c>
      <x:c r="C54" s="11" t="n">
        <x:f>IFERROR(IF(INDEX(Parsed!$K$2:$K$190,(MATCH(B54,Data!$B$2:$B$22,0)-1)*9+MATCH("God",Parsed!$C$2:$C$10,0))=INDEX(Parsed!$H$2:$H$190,(MATCH(A54,Data!$B$2:$B$22,0)-1)*9+MATCH("God",Parsed!$C$2:$C$10,0)),INDEX(Parsed!$M$2:$M$190,(MATCH(B54,Data!$B$2:$B$22,0)-1)*9+MATCH("God",Parsed!$C$2:$C$10,0))*INDEX(Parsed!$I$2:$I$190,(MATCH(A54,Data!$B$2:$B$22,0)-1)*9+MATCH("God",Parsed!$C$2:$C$10,0)),0)+IF(INDEX(Parsed!$K$2:$K$190,(MATCH(B54,Data!$B$2:$B$22,0)-1)*9+MATCH("Politics",Parsed!$C$2:$C$10,0))=INDEX(Parsed!$H$2:$H$190,(MATCH(A54,Data!$B$2:$B$22,0)-1)*9+MATCH("Politics",Parsed!$C$2:$C$10,0)),INDEX(Parsed!$M$2:$M$190,(MATCH(B54,Data!$B$2:$B$22,0)-1)*9+MATCH("Politics",Parsed!$C$2:$C$10,0))*INDEX(Parsed!$I$2:$I$190,(MATCH(A54,Data!$B$2:$B$22,0)-1)*9+MATCH("Politics",Parsed!$C$2:$C$10,0)),0)+IF(INDEX(Parsed!$K$2:$K$190,(MATCH(B54,Data!$B$2:$B$22,0)-1)*9+MATCH("Marriage",Parsed!$C$2:$C$10,0))=INDEX(Parsed!$H$2:$H$190,(MATCH(A54,Data!$B$2:$B$22,0)-1)*9+MATCH("Marriage",Parsed!$C$2:$C$10,0)),INDEX(Parsed!$M$2:$M$190,(MATCH(B54,Data!$B$2:$B$22,0)-1)*9+MATCH("Marriage",Parsed!$C$2:$C$10,0))*INDEX(Parsed!$I$2:$I$190,(MATCH(A54,Data!$B$2:$B$22,0)-1)*9+MATCH("Marriage",Parsed!$C$2:$C$10,0)),0)+IF(INDEX(Parsed!$K$2:$K$190,(MATCH(B54,Data!$B$2:$B$22,0)-1)*9+MATCH("Children",Parsed!$C$2:$C$10,0))=INDEX(Parsed!$H$2:$H$190,(MATCH(A54,Data!$B$2:$B$22,0)-1)*9+MATCH("Children",Parsed!$C$2:$C$10,0)),INDEX(Parsed!$M$2:$M$190,(MATCH(B54,Data!$B$2:$B$22,0)-1)*9+MATCH("Children",Parsed!$C$2:$C$10,0))*INDEX(Parsed!$I$2:$I$190,(MATCH(A54,Data!$B$2:$B$22,0)-1)*9+MATCH("Children",Parsed!$C$2:$C$10,0)),0)+IF(INDEX(Parsed!$K$2:$K$190,(MATCH(B54,Data!$B$2:$B$22,0)-1)*9+MATCH("Ethicity",Parsed!$C$2:$C$10,0))=INDEX(Parsed!$H$2:$H$190,(MATCH(A54,Data!$B$2:$B$22,0)-1)*9+MATCH("Ethicity",Parsed!$C$2:$C$10,0)),INDEX(Parsed!$M$2:$M$190,(MATCH(B54,Data!$B$2:$B$22,0)-1)*9+MATCH("Ethicity",Parsed!$C$2:$C$10,0))*INDEX(Parsed!$I$2:$I$190,(MATCH(A54,Data!$B$2:$B$22,0)-1)*9+MATCH("Ethicity",Parsed!$C$2:$C$10,0)),0)+IF(INDEX(Parsed!$K$2:$K$190,(MATCH(B54,Data!$B$2:$B$22,0)-1)*9+MATCH("Past",Parsed!$C$2:$C$10,0))=INDEX(Parsed!$H$2:$H$190,(MATCH(A54,Data!$B$2:$B$22,0)-1)*9+MATCH("Past",Parsed!$C$2:$C$10,0)),INDEX(Parsed!$M$2:$M$190,(MATCH(B54,Data!$B$2:$B$22,0)-1)*9+MATCH("Past",Parsed!$C$2:$C$10,0))*INDEX(Parsed!$I$2:$I$190,(MATCH(A54,Data!$B$2:$B$22,0)-1)*9+MATCH("Past",Parsed!$C$2:$C$10,0)),0)+IF(INDEX(Parsed!$K$2:$K$190,(MATCH(B54,Data!$B$2:$B$22,0)-1)*9+MATCH("D/S",Parsed!$C$2:$C$10,0))=INDEX(Parsed!$H$2:$H$190,(MATCH(A54,Data!$B$2:$B$22,0)-1)*9+MATCH("D/S",Parsed!$C$2:$C$10,0)),INDEX(Parsed!$M$2:$M$190,(MATCH(B54,Data!$B$2:$B$22,0)-1)*9+MATCH("D/S",Parsed!$C$2:$C$10,0))*INDEX(Parsed!$I$2:$I$190,(MATCH(A54,Data!$B$2:$B$22,0)-1)*9+MATCH("D/S",Parsed!$C$2:$C$10,0)),0)+IF(INDEX(Parsed!$K$2:$K$190,(MATCH(B54,Data!$B$2:$B$22,0)-1)*9+MATCH("True/kind",Parsed!$C$2:$C$10,0))=INDEX(Parsed!$H$2:$H$190,(MATCH(A54,Data!$B$2:$B$22,0)-1)*9+MATCH("True/kind",Parsed!$C$2:$C$10,0)),INDEX(Parsed!$M$2:$M$190,(MATCH(B54,Data!$B$2:$B$22,0)-1)*9+MATCH("True/kind",Parsed!$C$2:$C$10,0))*INDEX(Parsed!$I$2:$I$190,(MATCH(A54,Data!$B$2:$B$22,0)-1)*9+MATCH("True/kind",Parsed!$C$2:$C$10,0)),0)+IF(INDEX(Parsed!$K$2:$K$190,(MATCH(B54,Data!$B$2:$B$22,0)-1)*9+MATCH("Animal",Parsed!$C$2:$C$10,0))=INDEX(Parsed!$H$2:$H$190,(MATCH(A54,Data!$B$2:$B$22,0)-1)*9+MATCH("Animal",Parsed!$C$2:$C$10,0)),INDEX(Parsed!$M$2:$M$190,(MATCH(B54,Data!$B$2:$B$22,0)-1)*9+MATCH("Animal",Parsed!$C$2:$C$10,0))*INDEX(Parsed!$I$2:$I$190,(MATCH(A54,Data!$B$2:$B$22,0)-1)*9+MATCH("Animal",Parsed!$C$2:$C$10,0)),0),0)</x:f>
        <x:v>71.25</x:v>
      </x:c>
      <x:c r="D54" s="11" t="n">
        <x:f>IFERROR(IF(INDEX(Parsed!$K$2:$K$190,(MATCH(A54,Data!$B$2:$B$22,0)-1)*9+MATCH("God",Parsed!$C$2:$C$10,0))=INDEX(Parsed!$H$2:$H$190,(MATCH(B54,Data!$B$2:$B$22,0)-1)*9+MATCH("God",Parsed!$C$2:$C$10,0)),INDEX(Parsed!$M$2:$M$190,(MATCH(A54,Data!$B$2:$B$22,0)-1)*9+MATCH("God",Parsed!$C$2:$C$10,0))*INDEX(Parsed!$I$2:$I$190,(MATCH(B54,Data!$B$2:$B$22,0)-1)*9+MATCH("God",Parsed!$C$2:$C$10,0)),0)+IF(INDEX(Parsed!$K$2:$K$190,(MATCH(A54,Data!$B$2:$B$22,0)-1)*9+MATCH("Politics",Parsed!$C$2:$C$10,0))=INDEX(Parsed!$H$2:$H$190,(MATCH(B54,Data!$B$2:$B$22,0)-1)*9+MATCH("Politics",Parsed!$C$2:$C$10,0)),INDEX(Parsed!$M$2:$M$190,(MATCH(A54,Data!$B$2:$B$22,0)-1)*9+MATCH("Politics",Parsed!$C$2:$C$10,0))*INDEX(Parsed!$I$2:$I$190,(MATCH(B54,Data!$B$2:$B$22,0)-1)*9+MATCH("Politics",Parsed!$C$2:$C$10,0)),0)+IF(INDEX(Parsed!$K$2:$K$190,(MATCH(A54,Data!$B$2:$B$22,0)-1)*9+MATCH("Marriage",Parsed!$C$2:$C$10,0))=INDEX(Parsed!$H$2:$H$190,(MATCH(B54,Data!$B$2:$B$22,0)-1)*9+MATCH("Marriage",Parsed!$C$2:$C$10,0)),INDEX(Parsed!$M$2:$M$190,(MATCH(A54,Data!$B$2:$B$22,0)-1)*9+MATCH("Marriage",Parsed!$C$2:$C$10,0))*INDEX(Parsed!$I$2:$I$190,(MATCH(B54,Data!$B$2:$B$22,0)-1)*9+MATCH("Marriage",Parsed!$C$2:$C$10,0)),0)+IF(INDEX(Parsed!$K$2:$K$190,(MATCH(A54,Data!$B$2:$B$22,0)-1)*9+MATCH("Children",Parsed!$C$2:$C$10,0))=INDEX(Parsed!$H$2:$H$190,(MATCH(B54,Data!$B$2:$B$22,0)-1)*9+MATCH("Children",Parsed!$C$2:$C$10,0)),INDEX(Parsed!$M$2:$M$190,(MATCH(A54,Data!$B$2:$B$22,0)-1)*9+MATCH("Children",Parsed!$C$2:$C$10,0))*INDEX(Parsed!$I$2:$I$190,(MATCH(B54,Data!$B$2:$B$22,0)-1)*9+MATCH("Children",Parsed!$C$2:$C$10,0)),0)+IF(INDEX(Parsed!$K$2:$K$190,(MATCH(A54,Data!$B$2:$B$22,0)-1)*9+MATCH("Ethicity",Parsed!$C$2:$C$10,0))=INDEX(Parsed!$H$2:$H$190,(MATCH(B54,Data!$B$2:$B$22,0)-1)*9+MATCH("Ethicity",Parsed!$C$2:$C$10,0)),INDEX(Parsed!$M$2:$M$190,(MATCH(A54,Data!$B$2:$B$22,0)-1)*9+MATCH("Ethicity",Parsed!$C$2:$C$10,0))*INDEX(Parsed!$I$2:$I$190,(MATCH(B54,Data!$B$2:$B$22,0)-1)*9+MATCH("Ethicity",Parsed!$C$2:$C$10,0)),0)+IF(INDEX(Parsed!$K$2:$K$190,(MATCH(A54,Data!$B$2:$B$22,0)-1)*9+MATCH("Past",Parsed!$C$2:$C$10,0))=INDEX(Parsed!$H$2:$H$190,(MATCH(B54,Data!$B$2:$B$22,0)-1)*9+MATCH("Past",Parsed!$C$2:$C$10,0)),INDEX(Parsed!$M$2:$M$190,(MATCH(A54,Data!$B$2:$B$22,0)-1)*9+MATCH("Past",Parsed!$C$2:$C$10,0))*INDEX(Parsed!$I$2:$I$190,(MATCH(B54,Data!$B$2:$B$22,0)-1)*9+MATCH("Past",Parsed!$C$2:$C$10,0)),0)+IF(INDEX(Parsed!$K$2:$K$190,(MATCH(A54,Data!$B$2:$B$22,0)-1)*9+MATCH("D/S",Parsed!$C$2:$C$10,0))=INDEX(Parsed!$H$2:$H$190,(MATCH(B54,Data!$B$2:$B$22,0)-1)*9+MATCH("D/S",Parsed!$C$2:$C$10,0)),INDEX(Parsed!$M$2:$M$190,(MATCH(A54,Data!$B$2:$B$22,0)-1)*9+MATCH("D/S",Parsed!$C$2:$C$10,0))*INDEX(Parsed!$I$2:$I$190,(MATCH(B54,Data!$B$2:$B$22,0)-1)*9+MATCH("D/S",Parsed!$C$2:$C$10,0)),0)+IF(INDEX(Parsed!$K$2:$K$190,(MATCH(A54,Data!$B$2:$B$22,0)-1)*9+MATCH("True/kind",Parsed!$C$2:$C$10,0))=INDEX(Parsed!$H$2:$H$190,(MATCH(B54,Data!$B$2:$B$22,0)-1)*9+MATCH("True/kind",Parsed!$C$2:$C$10,0)),INDEX(Parsed!$M$2:$M$190,(MATCH(A54,Data!$B$2:$B$22,0)-1)*9+MATCH("True/kind",Parsed!$C$2:$C$10,0))*INDEX(Parsed!$I$2:$I$190,(MATCH(B54,Data!$B$2:$B$22,0)-1)*9+MATCH("True/kind",Parsed!$C$2:$C$10,0)),0)+IF(INDEX(Parsed!$K$2:$K$190,(MATCH(A54,Data!$B$2:$B$22,0)-1)*9+MATCH("Animal",Parsed!$C$2:$C$10,0))=INDEX(Parsed!$H$2:$H$190,(MATCH(B54,Data!$B$2:$B$22,0)-1)*9+MATCH("Animal",Parsed!$C$2:$C$10,0)),INDEX(Parsed!$M$2:$M$190,(MATCH(A54,Data!$B$2:$B$22,0)-1)*9+MATCH("Animal",Parsed!$C$2:$C$10,0))*INDEX(Parsed!$I$2:$I$190,(MATCH(B54,Data!$B$2:$B$22,0)-1)*9+MATCH("Animal",Parsed!$C$2:$C$10,0)),0),0)</x:f>
        <x:v>51.25</x:v>
      </x:c>
      <x:c r="E54" s="11" t="n">
        <x:f>SQRT(C54*D54)</x:f>
        <x:v>60.4281598263591</x:v>
      </x:c>
    </x:row>
    <x:row r="55">
      <x:c r="A55" t="str">
        <x:v>richard</x:v>
      </x:c>
      <x:c r="B55" t="str">
        <x:v>angela</x:v>
      </x:c>
      <x:c r="C55" s="11" t="n">
        <x:f>IFERROR(IF(INDEX(Parsed!$K$2:$K$190,(MATCH(B55,Data!$B$2:$B$22,0)-1)*9+MATCH("God",Parsed!$C$2:$C$10,0))=INDEX(Parsed!$H$2:$H$190,(MATCH(A55,Data!$B$2:$B$22,0)-1)*9+MATCH("God",Parsed!$C$2:$C$10,0)),INDEX(Parsed!$M$2:$M$190,(MATCH(B55,Data!$B$2:$B$22,0)-1)*9+MATCH("God",Parsed!$C$2:$C$10,0))*INDEX(Parsed!$I$2:$I$190,(MATCH(A55,Data!$B$2:$B$22,0)-1)*9+MATCH("God",Parsed!$C$2:$C$10,0)),0)+IF(INDEX(Parsed!$K$2:$K$190,(MATCH(B55,Data!$B$2:$B$22,0)-1)*9+MATCH("Politics",Parsed!$C$2:$C$10,0))=INDEX(Parsed!$H$2:$H$190,(MATCH(A55,Data!$B$2:$B$22,0)-1)*9+MATCH("Politics",Parsed!$C$2:$C$10,0)),INDEX(Parsed!$M$2:$M$190,(MATCH(B55,Data!$B$2:$B$22,0)-1)*9+MATCH("Politics",Parsed!$C$2:$C$10,0))*INDEX(Parsed!$I$2:$I$190,(MATCH(A55,Data!$B$2:$B$22,0)-1)*9+MATCH("Politics",Parsed!$C$2:$C$10,0)),0)+IF(INDEX(Parsed!$K$2:$K$190,(MATCH(B55,Data!$B$2:$B$22,0)-1)*9+MATCH("Marriage",Parsed!$C$2:$C$10,0))=INDEX(Parsed!$H$2:$H$190,(MATCH(A55,Data!$B$2:$B$22,0)-1)*9+MATCH("Marriage",Parsed!$C$2:$C$10,0)),INDEX(Parsed!$M$2:$M$190,(MATCH(B55,Data!$B$2:$B$22,0)-1)*9+MATCH("Marriage",Parsed!$C$2:$C$10,0))*INDEX(Parsed!$I$2:$I$190,(MATCH(A55,Data!$B$2:$B$22,0)-1)*9+MATCH("Marriage",Parsed!$C$2:$C$10,0)),0)+IF(INDEX(Parsed!$K$2:$K$190,(MATCH(B55,Data!$B$2:$B$22,0)-1)*9+MATCH("Children",Parsed!$C$2:$C$10,0))=INDEX(Parsed!$H$2:$H$190,(MATCH(A55,Data!$B$2:$B$22,0)-1)*9+MATCH("Children",Parsed!$C$2:$C$10,0)),INDEX(Parsed!$M$2:$M$190,(MATCH(B55,Data!$B$2:$B$22,0)-1)*9+MATCH("Children",Parsed!$C$2:$C$10,0))*INDEX(Parsed!$I$2:$I$190,(MATCH(A55,Data!$B$2:$B$22,0)-1)*9+MATCH("Children",Parsed!$C$2:$C$10,0)),0)+IF(INDEX(Parsed!$K$2:$K$190,(MATCH(B55,Data!$B$2:$B$22,0)-1)*9+MATCH("Ethicity",Parsed!$C$2:$C$10,0))=INDEX(Parsed!$H$2:$H$190,(MATCH(A55,Data!$B$2:$B$22,0)-1)*9+MATCH("Ethicity",Parsed!$C$2:$C$10,0)),INDEX(Parsed!$M$2:$M$190,(MATCH(B55,Data!$B$2:$B$22,0)-1)*9+MATCH("Ethicity",Parsed!$C$2:$C$10,0))*INDEX(Parsed!$I$2:$I$190,(MATCH(A55,Data!$B$2:$B$22,0)-1)*9+MATCH("Ethicity",Parsed!$C$2:$C$10,0)),0)+IF(INDEX(Parsed!$K$2:$K$190,(MATCH(B55,Data!$B$2:$B$22,0)-1)*9+MATCH("Past",Parsed!$C$2:$C$10,0))=INDEX(Parsed!$H$2:$H$190,(MATCH(A55,Data!$B$2:$B$22,0)-1)*9+MATCH("Past",Parsed!$C$2:$C$10,0)),INDEX(Parsed!$M$2:$M$190,(MATCH(B55,Data!$B$2:$B$22,0)-1)*9+MATCH("Past",Parsed!$C$2:$C$10,0))*INDEX(Parsed!$I$2:$I$190,(MATCH(A55,Data!$B$2:$B$22,0)-1)*9+MATCH("Past",Parsed!$C$2:$C$10,0)),0)+IF(INDEX(Parsed!$K$2:$K$190,(MATCH(B55,Data!$B$2:$B$22,0)-1)*9+MATCH("D/S",Parsed!$C$2:$C$10,0))=INDEX(Parsed!$H$2:$H$190,(MATCH(A55,Data!$B$2:$B$22,0)-1)*9+MATCH("D/S",Parsed!$C$2:$C$10,0)),INDEX(Parsed!$M$2:$M$190,(MATCH(B55,Data!$B$2:$B$22,0)-1)*9+MATCH("D/S",Parsed!$C$2:$C$10,0))*INDEX(Parsed!$I$2:$I$190,(MATCH(A55,Data!$B$2:$B$22,0)-1)*9+MATCH("D/S",Parsed!$C$2:$C$10,0)),0)+IF(INDEX(Parsed!$K$2:$K$190,(MATCH(B55,Data!$B$2:$B$22,0)-1)*9+MATCH("True/kind",Parsed!$C$2:$C$10,0))=INDEX(Parsed!$H$2:$H$190,(MATCH(A55,Data!$B$2:$B$22,0)-1)*9+MATCH("True/kind",Parsed!$C$2:$C$10,0)),INDEX(Parsed!$M$2:$M$190,(MATCH(B55,Data!$B$2:$B$22,0)-1)*9+MATCH("True/kind",Parsed!$C$2:$C$10,0))*INDEX(Parsed!$I$2:$I$190,(MATCH(A55,Data!$B$2:$B$22,0)-1)*9+MATCH("True/kind",Parsed!$C$2:$C$10,0)),0)+IF(INDEX(Parsed!$K$2:$K$190,(MATCH(B55,Data!$B$2:$B$22,0)-1)*9+MATCH("Animal",Parsed!$C$2:$C$10,0))=INDEX(Parsed!$H$2:$H$190,(MATCH(A55,Data!$B$2:$B$22,0)-1)*9+MATCH("Animal",Parsed!$C$2:$C$10,0)),INDEX(Parsed!$M$2:$M$190,(MATCH(B55,Data!$B$2:$B$22,0)-1)*9+MATCH("Animal",Parsed!$C$2:$C$10,0))*INDEX(Parsed!$I$2:$I$190,(MATCH(A55,Data!$B$2:$B$22,0)-1)*9+MATCH("Animal",Parsed!$C$2:$C$10,0)),0),0)</x:f>
        <x:v>87.5</x:v>
      </x:c>
      <x:c r="D55" s="11" t="n">
        <x:f>IFERROR(IF(INDEX(Parsed!$K$2:$K$190,(MATCH(A55,Data!$B$2:$B$22,0)-1)*9+MATCH("God",Parsed!$C$2:$C$10,0))=INDEX(Parsed!$H$2:$H$190,(MATCH(B55,Data!$B$2:$B$22,0)-1)*9+MATCH("God",Parsed!$C$2:$C$10,0)),INDEX(Parsed!$M$2:$M$190,(MATCH(A55,Data!$B$2:$B$22,0)-1)*9+MATCH("God",Parsed!$C$2:$C$10,0))*INDEX(Parsed!$I$2:$I$190,(MATCH(B55,Data!$B$2:$B$22,0)-1)*9+MATCH("God",Parsed!$C$2:$C$10,0)),0)+IF(INDEX(Parsed!$K$2:$K$190,(MATCH(A55,Data!$B$2:$B$22,0)-1)*9+MATCH("Politics",Parsed!$C$2:$C$10,0))=INDEX(Parsed!$H$2:$H$190,(MATCH(B55,Data!$B$2:$B$22,0)-1)*9+MATCH("Politics",Parsed!$C$2:$C$10,0)),INDEX(Parsed!$M$2:$M$190,(MATCH(A55,Data!$B$2:$B$22,0)-1)*9+MATCH("Politics",Parsed!$C$2:$C$10,0))*INDEX(Parsed!$I$2:$I$190,(MATCH(B55,Data!$B$2:$B$22,0)-1)*9+MATCH("Politics",Parsed!$C$2:$C$10,0)),0)+IF(INDEX(Parsed!$K$2:$K$190,(MATCH(A55,Data!$B$2:$B$22,0)-1)*9+MATCH("Marriage",Parsed!$C$2:$C$10,0))=INDEX(Parsed!$H$2:$H$190,(MATCH(B55,Data!$B$2:$B$22,0)-1)*9+MATCH("Marriage",Parsed!$C$2:$C$10,0)),INDEX(Parsed!$M$2:$M$190,(MATCH(A55,Data!$B$2:$B$22,0)-1)*9+MATCH("Marriage",Parsed!$C$2:$C$10,0))*INDEX(Parsed!$I$2:$I$190,(MATCH(B55,Data!$B$2:$B$22,0)-1)*9+MATCH("Marriage",Parsed!$C$2:$C$10,0)),0)+IF(INDEX(Parsed!$K$2:$K$190,(MATCH(A55,Data!$B$2:$B$22,0)-1)*9+MATCH("Children",Parsed!$C$2:$C$10,0))=INDEX(Parsed!$H$2:$H$190,(MATCH(B55,Data!$B$2:$B$22,0)-1)*9+MATCH("Children",Parsed!$C$2:$C$10,0)),INDEX(Parsed!$M$2:$M$190,(MATCH(A55,Data!$B$2:$B$22,0)-1)*9+MATCH("Children",Parsed!$C$2:$C$10,0))*INDEX(Parsed!$I$2:$I$190,(MATCH(B55,Data!$B$2:$B$22,0)-1)*9+MATCH("Children",Parsed!$C$2:$C$10,0)),0)+IF(INDEX(Parsed!$K$2:$K$190,(MATCH(A55,Data!$B$2:$B$22,0)-1)*9+MATCH("Ethicity",Parsed!$C$2:$C$10,0))=INDEX(Parsed!$H$2:$H$190,(MATCH(B55,Data!$B$2:$B$22,0)-1)*9+MATCH("Ethicity",Parsed!$C$2:$C$10,0)),INDEX(Parsed!$M$2:$M$190,(MATCH(A55,Data!$B$2:$B$22,0)-1)*9+MATCH("Ethicity",Parsed!$C$2:$C$10,0))*INDEX(Parsed!$I$2:$I$190,(MATCH(B55,Data!$B$2:$B$22,0)-1)*9+MATCH("Ethicity",Parsed!$C$2:$C$10,0)),0)+IF(INDEX(Parsed!$K$2:$K$190,(MATCH(A55,Data!$B$2:$B$22,0)-1)*9+MATCH("Past",Parsed!$C$2:$C$10,0))=INDEX(Parsed!$H$2:$H$190,(MATCH(B55,Data!$B$2:$B$22,0)-1)*9+MATCH("Past",Parsed!$C$2:$C$10,0)),INDEX(Parsed!$M$2:$M$190,(MATCH(A55,Data!$B$2:$B$22,0)-1)*9+MATCH("Past",Parsed!$C$2:$C$10,0))*INDEX(Parsed!$I$2:$I$190,(MATCH(B55,Data!$B$2:$B$22,0)-1)*9+MATCH("Past",Parsed!$C$2:$C$10,0)),0)+IF(INDEX(Parsed!$K$2:$K$190,(MATCH(A55,Data!$B$2:$B$22,0)-1)*9+MATCH("D/S",Parsed!$C$2:$C$10,0))=INDEX(Parsed!$H$2:$H$190,(MATCH(B55,Data!$B$2:$B$22,0)-1)*9+MATCH("D/S",Parsed!$C$2:$C$10,0)),INDEX(Parsed!$M$2:$M$190,(MATCH(A55,Data!$B$2:$B$22,0)-1)*9+MATCH("D/S",Parsed!$C$2:$C$10,0))*INDEX(Parsed!$I$2:$I$190,(MATCH(B55,Data!$B$2:$B$22,0)-1)*9+MATCH("D/S",Parsed!$C$2:$C$10,0)),0)+IF(INDEX(Parsed!$K$2:$K$190,(MATCH(A55,Data!$B$2:$B$22,0)-1)*9+MATCH("True/kind",Parsed!$C$2:$C$10,0))=INDEX(Parsed!$H$2:$H$190,(MATCH(B55,Data!$B$2:$B$22,0)-1)*9+MATCH("True/kind",Parsed!$C$2:$C$10,0)),INDEX(Parsed!$M$2:$M$190,(MATCH(A55,Data!$B$2:$B$22,0)-1)*9+MATCH("True/kind",Parsed!$C$2:$C$10,0))*INDEX(Parsed!$I$2:$I$190,(MATCH(B55,Data!$B$2:$B$22,0)-1)*9+MATCH("True/kind",Parsed!$C$2:$C$10,0)),0)+IF(INDEX(Parsed!$K$2:$K$190,(MATCH(A55,Data!$B$2:$B$22,0)-1)*9+MATCH("Animal",Parsed!$C$2:$C$10,0))=INDEX(Parsed!$H$2:$H$190,(MATCH(B55,Data!$B$2:$B$22,0)-1)*9+MATCH("Animal",Parsed!$C$2:$C$10,0)),INDEX(Parsed!$M$2:$M$190,(MATCH(A55,Data!$B$2:$B$22,0)-1)*9+MATCH("Animal",Parsed!$C$2:$C$10,0))*INDEX(Parsed!$I$2:$I$190,(MATCH(B55,Data!$B$2:$B$22,0)-1)*9+MATCH("Animal",Parsed!$C$2:$C$10,0)),0),0)</x:f>
        <x:v>42.5</x:v>
      </x:c>
      <x:c r="E55" s="11" t="n">
        <x:f>SQRT(C55*D55)</x:f>
        <x:v>60.98155458825234</x:v>
      </x:c>
    </x:row>
    <x:row r="56">
      <x:c r="A56" t="str">
        <x:v>richard</x:v>
      </x:c>
      <x:c r="B56" t="str">
        <x:v>issabel</x:v>
      </x:c>
      <x:c r="C56" s="11" t="n">
        <x:f>IFERROR(IF(INDEX(Parsed!$K$2:$K$190,(MATCH(B56,Data!$B$2:$B$22,0)-1)*9+MATCH("God",Parsed!$C$2:$C$10,0))=INDEX(Parsed!$H$2:$H$190,(MATCH(A56,Data!$B$2:$B$22,0)-1)*9+MATCH("God",Parsed!$C$2:$C$10,0)),INDEX(Parsed!$M$2:$M$190,(MATCH(B56,Data!$B$2:$B$22,0)-1)*9+MATCH("God",Parsed!$C$2:$C$10,0))*INDEX(Parsed!$I$2:$I$190,(MATCH(A56,Data!$B$2:$B$22,0)-1)*9+MATCH("God",Parsed!$C$2:$C$10,0)),0)+IF(INDEX(Parsed!$K$2:$K$190,(MATCH(B56,Data!$B$2:$B$22,0)-1)*9+MATCH("Politics",Parsed!$C$2:$C$10,0))=INDEX(Parsed!$H$2:$H$190,(MATCH(A56,Data!$B$2:$B$22,0)-1)*9+MATCH("Politics",Parsed!$C$2:$C$10,0)),INDEX(Parsed!$M$2:$M$190,(MATCH(B56,Data!$B$2:$B$22,0)-1)*9+MATCH("Politics",Parsed!$C$2:$C$10,0))*INDEX(Parsed!$I$2:$I$190,(MATCH(A56,Data!$B$2:$B$22,0)-1)*9+MATCH("Politics",Parsed!$C$2:$C$10,0)),0)+IF(INDEX(Parsed!$K$2:$K$190,(MATCH(B56,Data!$B$2:$B$22,0)-1)*9+MATCH("Marriage",Parsed!$C$2:$C$10,0))=INDEX(Parsed!$H$2:$H$190,(MATCH(A56,Data!$B$2:$B$22,0)-1)*9+MATCH("Marriage",Parsed!$C$2:$C$10,0)),INDEX(Parsed!$M$2:$M$190,(MATCH(B56,Data!$B$2:$B$22,0)-1)*9+MATCH("Marriage",Parsed!$C$2:$C$10,0))*INDEX(Parsed!$I$2:$I$190,(MATCH(A56,Data!$B$2:$B$22,0)-1)*9+MATCH("Marriage",Parsed!$C$2:$C$10,0)),0)+IF(INDEX(Parsed!$K$2:$K$190,(MATCH(B56,Data!$B$2:$B$22,0)-1)*9+MATCH("Children",Parsed!$C$2:$C$10,0))=INDEX(Parsed!$H$2:$H$190,(MATCH(A56,Data!$B$2:$B$22,0)-1)*9+MATCH("Children",Parsed!$C$2:$C$10,0)),INDEX(Parsed!$M$2:$M$190,(MATCH(B56,Data!$B$2:$B$22,0)-1)*9+MATCH("Children",Parsed!$C$2:$C$10,0))*INDEX(Parsed!$I$2:$I$190,(MATCH(A56,Data!$B$2:$B$22,0)-1)*9+MATCH("Children",Parsed!$C$2:$C$10,0)),0)+IF(INDEX(Parsed!$K$2:$K$190,(MATCH(B56,Data!$B$2:$B$22,0)-1)*9+MATCH("Ethicity",Parsed!$C$2:$C$10,0))=INDEX(Parsed!$H$2:$H$190,(MATCH(A56,Data!$B$2:$B$22,0)-1)*9+MATCH("Ethicity",Parsed!$C$2:$C$10,0)),INDEX(Parsed!$M$2:$M$190,(MATCH(B56,Data!$B$2:$B$22,0)-1)*9+MATCH("Ethicity",Parsed!$C$2:$C$10,0))*INDEX(Parsed!$I$2:$I$190,(MATCH(A56,Data!$B$2:$B$22,0)-1)*9+MATCH("Ethicity",Parsed!$C$2:$C$10,0)),0)+IF(INDEX(Parsed!$K$2:$K$190,(MATCH(B56,Data!$B$2:$B$22,0)-1)*9+MATCH("Past",Parsed!$C$2:$C$10,0))=INDEX(Parsed!$H$2:$H$190,(MATCH(A56,Data!$B$2:$B$22,0)-1)*9+MATCH("Past",Parsed!$C$2:$C$10,0)),INDEX(Parsed!$M$2:$M$190,(MATCH(B56,Data!$B$2:$B$22,0)-1)*9+MATCH("Past",Parsed!$C$2:$C$10,0))*INDEX(Parsed!$I$2:$I$190,(MATCH(A56,Data!$B$2:$B$22,0)-1)*9+MATCH("Past",Parsed!$C$2:$C$10,0)),0)+IF(INDEX(Parsed!$K$2:$K$190,(MATCH(B56,Data!$B$2:$B$22,0)-1)*9+MATCH("D/S",Parsed!$C$2:$C$10,0))=INDEX(Parsed!$H$2:$H$190,(MATCH(A56,Data!$B$2:$B$22,0)-1)*9+MATCH("D/S",Parsed!$C$2:$C$10,0)),INDEX(Parsed!$M$2:$M$190,(MATCH(B56,Data!$B$2:$B$22,0)-1)*9+MATCH("D/S",Parsed!$C$2:$C$10,0))*INDEX(Parsed!$I$2:$I$190,(MATCH(A56,Data!$B$2:$B$22,0)-1)*9+MATCH("D/S",Parsed!$C$2:$C$10,0)),0)+IF(INDEX(Parsed!$K$2:$K$190,(MATCH(B56,Data!$B$2:$B$22,0)-1)*9+MATCH("True/kind",Parsed!$C$2:$C$10,0))=INDEX(Parsed!$H$2:$H$190,(MATCH(A56,Data!$B$2:$B$22,0)-1)*9+MATCH("True/kind",Parsed!$C$2:$C$10,0)),INDEX(Parsed!$M$2:$M$190,(MATCH(B56,Data!$B$2:$B$22,0)-1)*9+MATCH("True/kind",Parsed!$C$2:$C$10,0))*INDEX(Parsed!$I$2:$I$190,(MATCH(A56,Data!$B$2:$B$22,0)-1)*9+MATCH("True/kind",Parsed!$C$2:$C$10,0)),0)+IF(INDEX(Parsed!$K$2:$K$190,(MATCH(B56,Data!$B$2:$B$22,0)-1)*9+MATCH("Animal",Parsed!$C$2:$C$10,0))=INDEX(Parsed!$H$2:$H$190,(MATCH(A56,Data!$B$2:$B$22,0)-1)*9+MATCH("Animal",Parsed!$C$2:$C$10,0)),INDEX(Parsed!$M$2:$M$190,(MATCH(B56,Data!$B$2:$B$22,0)-1)*9+MATCH("Animal",Parsed!$C$2:$C$10,0))*INDEX(Parsed!$I$2:$I$190,(MATCH(A56,Data!$B$2:$B$22,0)-1)*9+MATCH("Animal",Parsed!$C$2:$C$10,0)),0),0)</x:f>
        <x:v>68.75</x:v>
      </x:c>
      <x:c r="D56" s="11" t="n">
        <x:f>IFERROR(IF(INDEX(Parsed!$K$2:$K$190,(MATCH(A56,Data!$B$2:$B$22,0)-1)*9+MATCH("God",Parsed!$C$2:$C$10,0))=INDEX(Parsed!$H$2:$H$190,(MATCH(B56,Data!$B$2:$B$22,0)-1)*9+MATCH("God",Parsed!$C$2:$C$10,0)),INDEX(Parsed!$M$2:$M$190,(MATCH(A56,Data!$B$2:$B$22,0)-1)*9+MATCH("God",Parsed!$C$2:$C$10,0))*INDEX(Parsed!$I$2:$I$190,(MATCH(B56,Data!$B$2:$B$22,0)-1)*9+MATCH("God",Parsed!$C$2:$C$10,0)),0)+IF(INDEX(Parsed!$K$2:$K$190,(MATCH(A56,Data!$B$2:$B$22,0)-1)*9+MATCH("Politics",Parsed!$C$2:$C$10,0))=INDEX(Parsed!$H$2:$H$190,(MATCH(B56,Data!$B$2:$B$22,0)-1)*9+MATCH("Politics",Parsed!$C$2:$C$10,0)),INDEX(Parsed!$M$2:$M$190,(MATCH(A56,Data!$B$2:$B$22,0)-1)*9+MATCH("Politics",Parsed!$C$2:$C$10,0))*INDEX(Parsed!$I$2:$I$190,(MATCH(B56,Data!$B$2:$B$22,0)-1)*9+MATCH("Politics",Parsed!$C$2:$C$10,0)),0)+IF(INDEX(Parsed!$K$2:$K$190,(MATCH(A56,Data!$B$2:$B$22,0)-1)*9+MATCH("Marriage",Parsed!$C$2:$C$10,0))=INDEX(Parsed!$H$2:$H$190,(MATCH(B56,Data!$B$2:$B$22,0)-1)*9+MATCH("Marriage",Parsed!$C$2:$C$10,0)),INDEX(Parsed!$M$2:$M$190,(MATCH(A56,Data!$B$2:$B$22,0)-1)*9+MATCH("Marriage",Parsed!$C$2:$C$10,0))*INDEX(Parsed!$I$2:$I$190,(MATCH(B56,Data!$B$2:$B$22,0)-1)*9+MATCH("Marriage",Parsed!$C$2:$C$10,0)),0)+IF(INDEX(Parsed!$K$2:$K$190,(MATCH(A56,Data!$B$2:$B$22,0)-1)*9+MATCH("Children",Parsed!$C$2:$C$10,0))=INDEX(Parsed!$H$2:$H$190,(MATCH(B56,Data!$B$2:$B$22,0)-1)*9+MATCH("Children",Parsed!$C$2:$C$10,0)),INDEX(Parsed!$M$2:$M$190,(MATCH(A56,Data!$B$2:$B$22,0)-1)*9+MATCH("Children",Parsed!$C$2:$C$10,0))*INDEX(Parsed!$I$2:$I$190,(MATCH(B56,Data!$B$2:$B$22,0)-1)*9+MATCH("Children",Parsed!$C$2:$C$10,0)),0)+IF(INDEX(Parsed!$K$2:$K$190,(MATCH(A56,Data!$B$2:$B$22,0)-1)*9+MATCH("Ethicity",Parsed!$C$2:$C$10,0))=INDEX(Parsed!$H$2:$H$190,(MATCH(B56,Data!$B$2:$B$22,0)-1)*9+MATCH("Ethicity",Parsed!$C$2:$C$10,0)),INDEX(Parsed!$M$2:$M$190,(MATCH(A56,Data!$B$2:$B$22,0)-1)*9+MATCH("Ethicity",Parsed!$C$2:$C$10,0))*INDEX(Parsed!$I$2:$I$190,(MATCH(B56,Data!$B$2:$B$22,0)-1)*9+MATCH("Ethicity",Parsed!$C$2:$C$10,0)),0)+IF(INDEX(Parsed!$K$2:$K$190,(MATCH(A56,Data!$B$2:$B$22,0)-1)*9+MATCH("Past",Parsed!$C$2:$C$10,0))=INDEX(Parsed!$H$2:$H$190,(MATCH(B56,Data!$B$2:$B$22,0)-1)*9+MATCH("Past",Parsed!$C$2:$C$10,0)),INDEX(Parsed!$M$2:$M$190,(MATCH(A56,Data!$B$2:$B$22,0)-1)*9+MATCH("Past",Parsed!$C$2:$C$10,0))*INDEX(Parsed!$I$2:$I$190,(MATCH(B56,Data!$B$2:$B$22,0)-1)*9+MATCH("Past",Parsed!$C$2:$C$10,0)),0)+IF(INDEX(Parsed!$K$2:$K$190,(MATCH(A56,Data!$B$2:$B$22,0)-1)*9+MATCH("D/S",Parsed!$C$2:$C$10,0))=INDEX(Parsed!$H$2:$H$190,(MATCH(B56,Data!$B$2:$B$22,0)-1)*9+MATCH("D/S",Parsed!$C$2:$C$10,0)),INDEX(Parsed!$M$2:$M$190,(MATCH(A56,Data!$B$2:$B$22,0)-1)*9+MATCH("D/S",Parsed!$C$2:$C$10,0))*INDEX(Parsed!$I$2:$I$190,(MATCH(B56,Data!$B$2:$B$22,0)-1)*9+MATCH("D/S",Parsed!$C$2:$C$10,0)),0)+IF(INDEX(Parsed!$K$2:$K$190,(MATCH(A56,Data!$B$2:$B$22,0)-1)*9+MATCH("True/kind",Parsed!$C$2:$C$10,0))=INDEX(Parsed!$H$2:$H$190,(MATCH(B56,Data!$B$2:$B$22,0)-1)*9+MATCH("True/kind",Parsed!$C$2:$C$10,0)),INDEX(Parsed!$M$2:$M$190,(MATCH(A56,Data!$B$2:$B$22,0)-1)*9+MATCH("True/kind",Parsed!$C$2:$C$10,0))*INDEX(Parsed!$I$2:$I$190,(MATCH(B56,Data!$B$2:$B$22,0)-1)*9+MATCH("True/kind",Parsed!$C$2:$C$10,0)),0)+IF(INDEX(Parsed!$K$2:$K$190,(MATCH(A56,Data!$B$2:$B$22,0)-1)*9+MATCH("Animal",Parsed!$C$2:$C$10,0))=INDEX(Parsed!$H$2:$H$190,(MATCH(B56,Data!$B$2:$B$22,0)-1)*9+MATCH("Animal",Parsed!$C$2:$C$10,0)),INDEX(Parsed!$M$2:$M$190,(MATCH(A56,Data!$B$2:$B$22,0)-1)*9+MATCH("Animal",Parsed!$C$2:$C$10,0))*INDEX(Parsed!$I$2:$I$190,(MATCH(B56,Data!$B$2:$B$22,0)-1)*9+MATCH("Animal",Parsed!$C$2:$C$10,0)),0),0)</x:f>
        <x:v>72.5</x:v>
      </x:c>
      <x:c r="E56" s="11" t="n">
        <x:f>SQRT(C56*D56)</x:f>
        <x:v>70.6001062322147</x:v>
      </x:c>
    </x:row>
    <x:row r="57">
      <x:c r="A57" t="str">
        <x:v>richard</x:v>
      </x:c>
      <x:c r="B57" t="str">
        <x:v>lydia</x:v>
      </x:c>
      <x:c r="C57" s="11" t="n">
        <x:f>IFERROR(IF(INDEX(Parsed!$K$2:$K$190,(MATCH(B57,Data!$B$2:$B$22,0)-1)*9+MATCH("God",Parsed!$C$2:$C$10,0))=INDEX(Parsed!$H$2:$H$190,(MATCH(A57,Data!$B$2:$B$22,0)-1)*9+MATCH("God",Parsed!$C$2:$C$10,0)),INDEX(Parsed!$M$2:$M$190,(MATCH(B57,Data!$B$2:$B$22,0)-1)*9+MATCH("God",Parsed!$C$2:$C$10,0))*INDEX(Parsed!$I$2:$I$190,(MATCH(A57,Data!$B$2:$B$22,0)-1)*9+MATCH("God",Parsed!$C$2:$C$10,0)),0)+IF(INDEX(Parsed!$K$2:$K$190,(MATCH(B57,Data!$B$2:$B$22,0)-1)*9+MATCH("Politics",Parsed!$C$2:$C$10,0))=INDEX(Parsed!$H$2:$H$190,(MATCH(A57,Data!$B$2:$B$22,0)-1)*9+MATCH("Politics",Parsed!$C$2:$C$10,0)),INDEX(Parsed!$M$2:$M$190,(MATCH(B57,Data!$B$2:$B$22,0)-1)*9+MATCH("Politics",Parsed!$C$2:$C$10,0))*INDEX(Parsed!$I$2:$I$190,(MATCH(A57,Data!$B$2:$B$22,0)-1)*9+MATCH("Politics",Parsed!$C$2:$C$10,0)),0)+IF(INDEX(Parsed!$K$2:$K$190,(MATCH(B57,Data!$B$2:$B$22,0)-1)*9+MATCH("Marriage",Parsed!$C$2:$C$10,0))=INDEX(Parsed!$H$2:$H$190,(MATCH(A57,Data!$B$2:$B$22,0)-1)*9+MATCH("Marriage",Parsed!$C$2:$C$10,0)),INDEX(Parsed!$M$2:$M$190,(MATCH(B57,Data!$B$2:$B$22,0)-1)*9+MATCH("Marriage",Parsed!$C$2:$C$10,0))*INDEX(Parsed!$I$2:$I$190,(MATCH(A57,Data!$B$2:$B$22,0)-1)*9+MATCH("Marriage",Parsed!$C$2:$C$10,0)),0)+IF(INDEX(Parsed!$K$2:$K$190,(MATCH(B57,Data!$B$2:$B$22,0)-1)*9+MATCH("Children",Parsed!$C$2:$C$10,0))=INDEX(Parsed!$H$2:$H$190,(MATCH(A57,Data!$B$2:$B$22,0)-1)*9+MATCH("Children",Parsed!$C$2:$C$10,0)),INDEX(Parsed!$M$2:$M$190,(MATCH(B57,Data!$B$2:$B$22,0)-1)*9+MATCH("Children",Parsed!$C$2:$C$10,0))*INDEX(Parsed!$I$2:$I$190,(MATCH(A57,Data!$B$2:$B$22,0)-1)*9+MATCH("Children",Parsed!$C$2:$C$10,0)),0)+IF(INDEX(Parsed!$K$2:$K$190,(MATCH(B57,Data!$B$2:$B$22,0)-1)*9+MATCH("Ethicity",Parsed!$C$2:$C$10,0))=INDEX(Parsed!$H$2:$H$190,(MATCH(A57,Data!$B$2:$B$22,0)-1)*9+MATCH("Ethicity",Parsed!$C$2:$C$10,0)),INDEX(Parsed!$M$2:$M$190,(MATCH(B57,Data!$B$2:$B$22,0)-1)*9+MATCH("Ethicity",Parsed!$C$2:$C$10,0))*INDEX(Parsed!$I$2:$I$190,(MATCH(A57,Data!$B$2:$B$22,0)-1)*9+MATCH("Ethicity",Parsed!$C$2:$C$10,0)),0)+IF(INDEX(Parsed!$K$2:$K$190,(MATCH(B57,Data!$B$2:$B$22,0)-1)*9+MATCH("Past",Parsed!$C$2:$C$10,0))=INDEX(Parsed!$H$2:$H$190,(MATCH(A57,Data!$B$2:$B$22,0)-1)*9+MATCH("Past",Parsed!$C$2:$C$10,0)),INDEX(Parsed!$M$2:$M$190,(MATCH(B57,Data!$B$2:$B$22,0)-1)*9+MATCH("Past",Parsed!$C$2:$C$10,0))*INDEX(Parsed!$I$2:$I$190,(MATCH(A57,Data!$B$2:$B$22,0)-1)*9+MATCH("Past",Parsed!$C$2:$C$10,0)),0)+IF(INDEX(Parsed!$K$2:$K$190,(MATCH(B57,Data!$B$2:$B$22,0)-1)*9+MATCH("D/S",Parsed!$C$2:$C$10,0))=INDEX(Parsed!$H$2:$H$190,(MATCH(A57,Data!$B$2:$B$22,0)-1)*9+MATCH("D/S",Parsed!$C$2:$C$10,0)),INDEX(Parsed!$M$2:$M$190,(MATCH(B57,Data!$B$2:$B$22,0)-1)*9+MATCH("D/S",Parsed!$C$2:$C$10,0))*INDEX(Parsed!$I$2:$I$190,(MATCH(A57,Data!$B$2:$B$22,0)-1)*9+MATCH("D/S",Parsed!$C$2:$C$10,0)),0)+IF(INDEX(Parsed!$K$2:$K$190,(MATCH(B57,Data!$B$2:$B$22,0)-1)*9+MATCH("True/kind",Parsed!$C$2:$C$10,0))=INDEX(Parsed!$H$2:$H$190,(MATCH(A57,Data!$B$2:$B$22,0)-1)*9+MATCH("True/kind",Parsed!$C$2:$C$10,0)),INDEX(Parsed!$M$2:$M$190,(MATCH(B57,Data!$B$2:$B$22,0)-1)*9+MATCH("True/kind",Parsed!$C$2:$C$10,0))*INDEX(Parsed!$I$2:$I$190,(MATCH(A57,Data!$B$2:$B$22,0)-1)*9+MATCH("True/kind",Parsed!$C$2:$C$10,0)),0)+IF(INDEX(Parsed!$K$2:$K$190,(MATCH(B57,Data!$B$2:$B$22,0)-1)*9+MATCH("Animal",Parsed!$C$2:$C$10,0))=INDEX(Parsed!$H$2:$H$190,(MATCH(A57,Data!$B$2:$B$22,0)-1)*9+MATCH("Animal",Parsed!$C$2:$C$10,0)),INDEX(Parsed!$M$2:$M$190,(MATCH(B57,Data!$B$2:$B$22,0)-1)*9+MATCH("Animal",Parsed!$C$2:$C$10,0))*INDEX(Parsed!$I$2:$I$190,(MATCH(A57,Data!$B$2:$B$22,0)-1)*9+MATCH("Animal",Parsed!$C$2:$C$10,0)),0),0)</x:f>
        <x:v>47.5</x:v>
      </x:c>
      <x:c r="D57" s="11" t="n">
        <x:f>IFERROR(IF(INDEX(Parsed!$K$2:$K$190,(MATCH(A57,Data!$B$2:$B$22,0)-1)*9+MATCH("God",Parsed!$C$2:$C$10,0))=INDEX(Parsed!$H$2:$H$190,(MATCH(B57,Data!$B$2:$B$22,0)-1)*9+MATCH("God",Parsed!$C$2:$C$10,0)),INDEX(Parsed!$M$2:$M$190,(MATCH(A57,Data!$B$2:$B$22,0)-1)*9+MATCH("God",Parsed!$C$2:$C$10,0))*INDEX(Parsed!$I$2:$I$190,(MATCH(B57,Data!$B$2:$B$22,0)-1)*9+MATCH("God",Parsed!$C$2:$C$10,0)),0)+IF(INDEX(Parsed!$K$2:$K$190,(MATCH(A57,Data!$B$2:$B$22,0)-1)*9+MATCH("Politics",Parsed!$C$2:$C$10,0))=INDEX(Parsed!$H$2:$H$190,(MATCH(B57,Data!$B$2:$B$22,0)-1)*9+MATCH("Politics",Parsed!$C$2:$C$10,0)),INDEX(Parsed!$M$2:$M$190,(MATCH(A57,Data!$B$2:$B$22,0)-1)*9+MATCH("Politics",Parsed!$C$2:$C$10,0))*INDEX(Parsed!$I$2:$I$190,(MATCH(B57,Data!$B$2:$B$22,0)-1)*9+MATCH("Politics",Parsed!$C$2:$C$10,0)),0)+IF(INDEX(Parsed!$K$2:$K$190,(MATCH(A57,Data!$B$2:$B$22,0)-1)*9+MATCH("Marriage",Parsed!$C$2:$C$10,0))=INDEX(Parsed!$H$2:$H$190,(MATCH(B57,Data!$B$2:$B$22,0)-1)*9+MATCH("Marriage",Parsed!$C$2:$C$10,0)),INDEX(Parsed!$M$2:$M$190,(MATCH(A57,Data!$B$2:$B$22,0)-1)*9+MATCH("Marriage",Parsed!$C$2:$C$10,0))*INDEX(Parsed!$I$2:$I$190,(MATCH(B57,Data!$B$2:$B$22,0)-1)*9+MATCH("Marriage",Parsed!$C$2:$C$10,0)),0)+IF(INDEX(Parsed!$K$2:$K$190,(MATCH(A57,Data!$B$2:$B$22,0)-1)*9+MATCH("Children",Parsed!$C$2:$C$10,0))=INDEX(Parsed!$H$2:$H$190,(MATCH(B57,Data!$B$2:$B$22,0)-1)*9+MATCH("Children",Parsed!$C$2:$C$10,0)),INDEX(Parsed!$M$2:$M$190,(MATCH(A57,Data!$B$2:$B$22,0)-1)*9+MATCH("Children",Parsed!$C$2:$C$10,0))*INDEX(Parsed!$I$2:$I$190,(MATCH(B57,Data!$B$2:$B$22,0)-1)*9+MATCH("Children",Parsed!$C$2:$C$10,0)),0)+IF(INDEX(Parsed!$K$2:$K$190,(MATCH(A57,Data!$B$2:$B$22,0)-1)*9+MATCH("Ethicity",Parsed!$C$2:$C$10,0))=INDEX(Parsed!$H$2:$H$190,(MATCH(B57,Data!$B$2:$B$22,0)-1)*9+MATCH("Ethicity",Parsed!$C$2:$C$10,0)),INDEX(Parsed!$M$2:$M$190,(MATCH(A57,Data!$B$2:$B$22,0)-1)*9+MATCH("Ethicity",Parsed!$C$2:$C$10,0))*INDEX(Parsed!$I$2:$I$190,(MATCH(B57,Data!$B$2:$B$22,0)-1)*9+MATCH("Ethicity",Parsed!$C$2:$C$10,0)),0)+IF(INDEX(Parsed!$K$2:$K$190,(MATCH(A57,Data!$B$2:$B$22,0)-1)*9+MATCH("Past",Parsed!$C$2:$C$10,0))=INDEX(Parsed!$H$2:$H$190,(MATCH(B57,Data!$B$2:$B$22,0)-1)*9+MATCH("Past",Parsed!$C$2:$C$10,0)),INDEX(Parsed!$M$2:$M$190,(MATCH(A57,Data!$B$2:$B$22,0)-1)*9+MATCH("Past",Parsed!$C$2:$C$10,0))*INDEX(Parsed!$I$2:$I$190,(MATCH(B57,Data!$B$2:$B$22,0)-1)*9+MATCH("Past",Parsed!$C$2:$C$10,0)),0)+IF(INDEX(Parsed!$K$2:$K$190,(MATCH(A57,Data!$B$2:$B$22,0)-1)*9+MATCH("D/S",Parsed!$C$2:$C$10,0))=INDEX(Parsed!$H$2:$H$190,(MATCH(B57,Data!$B$2:$B$22,0)-1)*9+MATCH("D/S",Parsed!$C$2:$C$10,0)),INDEX(Parsed!$M$2:$M$190,(MATCH(A57,Data!$B$2:$B$22,0)-1)*9+MATCH("D/S",Parsed!$C$2:$C$10,0))*INDEX(Parsed!$I$2:$I$190,(MATCH(B57,Data!$B$2:$B$22,0)-1)*9+MATCH("D/S",Parsed!$C$2:$C$10,0)),0)+IF(INDEX(Parsed!$K$2:$K$190,(MATCH(A57,Data!$B$2:$B$22,0)-1)*9+MATCH("True/kind",Parsed!$C$2:$C$10,0))=INDEX(Parsed!$H$2:$H$190,(MATCH(B57,Data!$B$2:$B$22,0)-1)*9+MATCH("True/kind",Parsed!$C$2:$C$10,0)),INDEX(Parsed!$M$2:$M$190,(MATCH(A57,Data!$B$2:$B$22,0)-1)*9+MATCH("True/kind",Parsed!$C$2:$C$10,0))*INDEX(Parsed!$I$2:$I$190,(MATCH(B57,Data!$B$2:$B$22,0)-1)*9+MATCH("True/kind",Parsed!$C$2:$C$10,0)),0)+IF(INDEX(Parsed!$K$2:$K$190,(MATCH(A57,Data!$B$2:$B$22,0)-1)*9+MATCH("Animal",Parsed!$C$2:$C$10,0))=INDEX(Parsed!$H$2:$H$190,(MATCH(B57,Data!$B$2:$B$22,0)-1)*9+MATCH("Animal",Parsed!$C$2:$C$10,0)),INDEX(Parsed!$M$2:$M$190,(MATCH(A57,Data!$B$2:$B$22,0)-1)*9+MATCH("Animal",Parsed!$C$2:$C$10,0))*INDEX(Parsed!$I$2:$I$190,(MATCH(B57,Data!$B$2:$B$22,0)-1)*9+MATCH("Animal",Parsed!$C$2:$C$10,0)),0),0)</x:f>
        <x:v>23.75</x:v>
      </x:c>
      <x:c r="E57" s="11" t="n">
        <x:f>SQRT(C57*D57)</x:f>
        <x:v>33.58757210636101</x:v>
      </x:c>
    </x:row>
    <x:row r="58">
      <x:c r="A58" t="str">
        <x:v>tony</x:v>
      </x:c>
      <x:c r="B58" t="str">
        <x:v>jasmine</x:v>
      </x:c>
      <x:c r="C58" s="11" t="n">
        <x:f>IFERROR(IF(INDEX(Parsed!$K$2:$K$190,(MATCH(B58,Data!$B$2:$B$22,0)-1)*9+MATCH("God",Parsed!$C$2:$C$10,0))=INDEX(Parsed!$H$2:$H$190,(MATCH(A58,Data!$B$2:$B$22,0)-1)*9+MATCH("God",Parsed!$C$2:$C$10,0)),INDEX(Parsed!$M$2:$M$190,(MATCH(B58,Data!$B$2:$B$22,0)-1)*9+MATCH("God",Parsed!$C$2:$C$10,0))*INDEX(Parsed!$I$2:$I$190,(MATCH(A58,Data!$B$2:$B$22,0)-1)*9+MATCH("God",Parsed!$C$2:$C$10,0)),0)+IF(INDEX(Parsed!$K$2:$K$190,(MATCH(B58,Data!$B$2:$B$22,0)-1)*9+MATCH("Politics",Parsed!$C$2:$C$10,0))=INDEX(Parsed!$H$2:$H$190,(MATCH(A58,Data!$B$2:$B$22,0)-1)*9+MATCH("Politics",Parsed!$C$2:$C$10,0)),INDEX(Parsed!$M$2:$M$190,(MATCH(B58,Data!$B$2:$B$22,0)-1)*9+MATCH("Politics",Parsed!$C$2:$C$10,0))*INDEX(Parsed!$I$2:$I$190,(MATCH(A58,Data!$B$2:$B$22,0)-1)*9+MATCH("Politics",Parsed!$C$2:$C$10,0)),0)+IF(INDEX(Parsed!$K$2:$K$190,(MATCH(B58,Data!$B$2:$B$22,0)-1)*9+MATCH("Marriage",Parsed!$C$2:$C$10,0))=INDEX(Parsed!$H$2:$H$190,(MATCH(A58,Data!$B$2:$B$22,0)-1)*9+MATCH("Marriage",Parsed!$C$2:$C$10,0)),INDEX(Parsed!$M$2:$M$190,(MATCH(B58,Data!$B$2:$B$22,0)-1)*9+MATCH("Marriage",Parsed!$C$2:$C$10,0))*INDEX(Parsed!$I$2:$I$190,(MATCH(A58,Data!$B$2:$B$22,0)-1)*9+MATCH("Marriage",Parsed!$C$2:$C$10,0)),0)+IF(INDEX(Parsed!$K$2:$K$190,(MATCH(B58,Data!$B$2:$B$22,0)-1)*9+MATCH("Children",Parsed!$C$2:$C$10,0))=INDEX(Parsed!$H$2:$H$190,(MATCH(A58,Data!$B$2:$B$22,0)-1)*9+MATCH("Children",Parsed!$C$2:$C$10,0)),INDEX(Parsed!$M$2:$M$190,(MATCH(B58,Data!$B$2:$B$22,0)-1)*9+MATCH("Children",Parsed!$C$2:$C$10,0))*INDEX(Parsed!$I$2:$I$190,(MATCH(A58,Data!$B$2:$B$22,0)-1)*9+MATCH("Children",Parsed!$C$2:$C$10,0)),0)+IF(INDEX(Parsed!$K$2:$K$190,(MATCH(B58,Data!$B$2:$B$22,0)-1)*9+MATCH("Ethicity",Parsed!$C$2:$C$10,0))=INDEX(Parsed!$H$2:$H$190,(MATCH(A58,Data!$B$2:$B$22,0)-1)*9+MATCH("Ethicity",Parsed!$C$2:$C$10,0)),INDEX(Parsed!$M$2:$M$190,(MATCH(B58,Data!$B$2:$B$22,0)-1)*9+MATCH("Ethicity",Parsed!$C$2:$C$10,0))*INDEX(Parsed!$I$2:$I$190,(MATCH(A58,Data!$B$2:$B$22,0)-1)*9+MATCH("Ethicity",Parsed!$C$2:$C$10,0)),0)+IF(INDEX(Parsed!$K$2:$K$190,(MATCH(B58,Data!$B$2:$B$22,0)-1)*9+MATCH("Past",Parsed!$C$2:$C$10,0))=INDEX(Parsed!$H$2:$H$190,(MATCH(A58,Data!$B$2:$B$22,0)-1)*9+MATCH("Past",Parsed!$C$2:$C$10,0)),INDEX(Parsed!$M$2:$M$190,(MATCH(B58,Data!$B$2:$B$22,0)-1)*9+MATCH("Past",Parsed!$C$2:$C$10,0))*INDEX(Parsed!$I$2:$I$190,(MATCH(A58,Data!$B$2:$B$22,0)-1)*9+MATCH("Past",Parsed!$C$2:$C$10,0)),0)+IF(INDEX(Parsed!$K$2:$K$190,(MATCH(B58,Data!$B$2:$B$22,0)-1)*9+MATCH("D/S",Parsed!$C$2:$C$10,0))=INDEX(Parsed!$H$2:$H$190,(MATCH(A58,Data!$B$2:$B$22,0)-1)*9+MATCH("D/S",Parsed!$C$2:$C$10,0)),INDEX(Parsed!$M$2:$M$190,(MATCH(B58,Data!$B$2:$B$22,0)-1)*9+MATCH("D/S",Parsed!$C$2:$C$10,0))*INDEX(Parsed!$I$2:$I$190,(MATCH(A58,Data!$B$2:$B$22,0)-1)*9+MATCH("D/S",Parsed!$C$2:$C$10,0)),0)+IF(INDEX(Parsed!$K$2:$K$190,(MATCH(B58,Data!$B$2:$B$22,0)-1)*9+MATCH("True/kind",Parsed!$C$2:$C$10,0))=INDEX(Parsed!$H$2:$H$190,(MATCH(A58,Data!$B$2:$B$22,0)-1)*9+MATCH("True/kind",Parsed!$C$2:$C$10,0)),INDEX(Parsed!$M$2:$M$190,(MATCH(B58,Data!$B$2:$B$22,0)-1)*9+MATCH("True/kind",Parsed!$C$2:$C$10,0))*INDEX(Parsed!$I$2:$I$190,(MATCH(A58,Data!$B$2:$B$22,0)-1)*9+MATCH("True/kind",Parsed!$C$2:$C$10,0)),0)+IF(INDEX(Parsed!$K$2:$K$190,(MATCH(B58,Data!$B$2:$B$22,0)-1)*9+MATCH("Animal",Parsed!$C$2:$C$10,0))=INDEX(Parsed!$H$2:$H$190,(MATCH(A58,Data!$B$2:$B$22,0)-1)*9+MATCH("Animal",Parsed!$C$2:$C$10,0)),INDEX(Parsed!$M$2:$M$190,(MATCH(B58,Data!$B$2:$B$22,0)-1)*9+MATCH("Animal",Parsed!$C$2:$C$10,0))*INDEX(Parsed!$I$2:$I$190,(MATCH(A58,Data!$B$2:$B$22,0)-1)*9+MATCH("Animal",Parsed!$C$2:$C$10,0)),0),0)</x:f>
        <x:v>65</x:v>
      </x:c>
      <x:c r="D58" s="11" t="n">
        <x:f>IFERROR(IF(INDEX(Parsed!$K$2:$K$190,(MATCH(A58,Data!$B$2:$B$22,0)-1)*9+MATCH("God",Parsed!$C$2:$C$10,0))=INDEX(Parsed!$H$2:$H$190,(MATCH(B58,Data!$B$2:$B$22,0)-1)*9+MATCH("God",Parsed!$C$2:$C$10,0)),INDEX(Parsed!$M$2:$M$190,(MATCH(A58,Data!$B$2:$B$22,0)-1)*9+MATCH("God",Parsed!$C$2:$C$10,0))*INDEX(Parsed!$I$2:$I$190,(MATCH(B58,Data!$B$2:$B$22,0)-1)*9+MATCH("God",Parsed!$C$2:$C$10,0)),0)+IF(INDEX(Parsed!$K$2:$K$190,(MATCH(A58,Data!$B$2:$B$22,0)-1)*9+MATCH("Politics",Parsed!$C$2:$C$10,0))=INDEX(Parsed!$H$2:$H$190,(MATCH(B58,Data!$B$2:$B$22,0)-1)*9+MATCH("Politics",Parsed!$C$2:$C$10,0)),INDEX(Parsed!$M$2:$M$190,(MATCH(A58,Data!$B$2:$B$22,0)-1)*9+MATCH("Politics",Parsed!$C$2:$C$10,0))*INDEX(Parsed!$I$2:$I$190,(MATCH(B58,Data!$B$2:$B$22,0)-1)*9+MATCH("Politics",Parsed!$C$2:$C$10,0)),0)+IF(INDEX(Parsed!$K$2:$K$190,(MATCH(A58,Data!$B$2:$B$22,0)-1)*9+MATCH("Marriage",Parsed!$C$2:$C$10,0))=INDEX(Parsed!$H$2:$H$190,(MATCH(B58,Data!$B$2:$B$22,0)-1)*9+MATCH("Marriage",Parsed!$C$2:$C$10,0)),INDEX(Parsed!$M$2:$M$190,(MATCH(A58,Data!$B$2:$B$22,0)-1)*9+MATCH("Marriage",Parsed!$C$2:$C$10,0))*INDEX(Parsed!$I$2:$I$190,(MATCH(B58,Data!$B$2:$B$22,0)-1)*9+MATCH("Marriage",Parsed!$C$2:$C$10,0)),0)+IF(INDEX(Parsed!$K$2:$K$190,(MATCH(A58,Data!$B$2:$B$22,0)-1)*9+MATCH("Children",Parsed!$C$2:$C$10,0))=INDEX(Parsed!$H$2:$H$190,(MATCH(B58,Data!$B$2:$B$22,0)-1)*9+MATCH("Children",Parsed!$C$2:$C$10,0)),INDEX(Parsed!$M$2:$M$190,(MATCH(A58,Data!$B$2:$B$22,0)-1)*9+MATCH("Children",Parsed!$C$2:$C$10,0))*INDEX(Parsed!$I$2:$I$190,(MATCH(B58,Data!$B$2:$B$22,0)-1)*9+MATCH("Children",Parsed!$C$2:$C$10,0)),0)+IF(INDEX(Parsed!$K$2:$K$190,(MATCH(A58,Data!$B$2:$B$22,0)-1)*9+MATCH("Ethicity",Parsed!$C$2:$C$10,0))=INDEX(Parsed!$H$2:$H$190,(MATCH(B58,Data!$B$2:$B$22,0)-1)*9+MATCH("Ethicity",Parsed!$C$2:$C$10,0)),INDEX(Parsed!$M$2:$M$190,(MATCH(A58,Data!$B$2:$B$22,0)-1)*9+MATCH("Ethicity",Parsed!$C$2:$C$10,0))*INDEX(Parsed!$I$2:$I$190,(MATCH(B58,Data!$B$2:$B$22,0)-1)*9+MATCH("Ethicity",Parsed!$C$2:$C$10,0)),0)+IF(INDEX(Parsed!$K$2:$K$190,(MATCH(A58,Data!$B$2:$B$22,0)-1)*9+MATCH("Past",Parsed!$C$2:$C$10,0))=INDEX(Parsed!$H$2:$H$190,(MATCH(B58,Data!$B$2:$B$22,0)-1)*9+MATCH("Past",Parsed!$C$2:$C$10,0)),INDEX(Parsed!$M$2:$M$190,(MATCH(A58,Data!$B$2:$B$22,0)-1)*9+MATCH("Past",Parsed!$C$2:$C$10,0))*INDEX(Parsed!$I$2:$I$190,(MATCH(B58,Data!$B$2:$B$22,0)-1)*9+MATCH("Past",Parsed!$C$2:$C$10,0)),0)+IF(INDEX(Parsed!$K$2:$K$190,(MATCH(A58,Data!$B$2:$B$22,0)-1)*9+MATCH("D/S",Parsed!$C$2:$C$10,0))=INDEX(Parsed!$H$2:$H$190,(MATCH(B58,Data!$B$2:$B$22,0)-1)*9+MATCH("D/S",Parsed!$C$2:$C$10,0)),INDEX(Parsed!$M$2:$M$190,(MATCH(A58,Data!$B$2:$B$22,0)-1)*9+MATCH("D/S",Parsed!$C$2:$C$10,0))*INDEX(Parsed!$I$2:$I$190,(MATCH(B58,Data!$B$2:$B$22,0)-1)*9+MATCH("D/S",Parsed!$C$2:$C$10,0)),0)+IF(INDEX(Parsed!$K$2:$K$190,(MATCH(A58,Data!$B$2:$B$22,0)-1)*9+MATCH("True/kind",Parsed!$C$2:$C$10,0))=INDEX(Parsed!$H$2:$H$190,(MATCH(B58,Data!$B$2:$B$22,0)-1)*9+MATCH("True/kind",Parsed!$C$2:$C$10,0)),INDEX(Parsed!$M$2:$M$190,(MATCH(A58,Data!$B$2:$B$22,0)-1)*9+MATCH("True/kind",Parsed!$C$2:$C$10,0))*INDEX(Parsed!$I$2:$I$190,(MATCH(B58,Data!$B$2:$B$22,0)-1)*9+MATCH("True/kind",Parsed!$C$2:$C$10,0)),0)+IF(INDEX(Parsed!$K$2:$K$190,(MATCH(A58,Data!$B$2:$B$22,0)-1)*9+MATCH("Animal",Parsed!$C$2:$C$10,0))=INDEX(Parsed!$H$2:$H$190,(MATCH(B58,Data!$B$2:$B$22,0)-1)*9+MATCH("Animal",Parsed!$C$2:$C$10,0)),INDEX(Parsed!$M$2:$M$190,(MATCH(A58,Data!$B$2:$B$22,0)-1)*9+MATCH("Animal",Parsed!$C$2:$C$10,0))*INDEX(Parsed!$I$2:$I$190,(MATCH(B58,Data!$B$2:$B$22,0)-1)*9+MATCH("Animal",Parsed!$C$2:$C$10,0)),0),0)</x:f>
        <x:v>63.75</x:v>
      </x:c>
      <x:c r="E58" s="11" t="n">
        <x:f>SQRT(C58*D58)</x:f>
        <x:v>64.37196594791867</x:v>
      </x:c>
    </x:row>
    <x:row r="59">
      <x:c r="A59" t="str">
        <x:v>tony</x:v>
      </x:c>
      <x:c r="B59" t="str">
        <x:v>cathleen</x:v>
      </x:c>
      <x:c r="C59" s="11" t="n">
        <x:f>IFERROR(IF(INDEX(Parsed!$K$2:$K$190,(MATCH(B59,Data!$B$2:$B$22,0)-1)*9+MATCH("God",Parsed!$C$2:$C$10,0))=INDEX(Parsed!$H$2:$H$190,(MATCH(A59,Data!$B$2:$B$22,0)-1)*9+MATCH("God",Parsed!$C$2:$C$10,0)),INDEX(Parsed!$M$2:$M$190,(MATCH(B59,Data!$B$2:$B$22,0)-1)*9+MATCH("God",Parsed!$C$2:$C$10,0))*INDEX(Parsed!$I$2:$I$190,(MATCH(A59,Data!$B$2:$B$22,0)-1)*9+MATCH("God",Parsed!$C$2:$C$10,0)),0)+IF(INDEX(Parsed!$K$2:$K$190,(MATCH(B59,Data!$B$2:$B$22,0)-1)*9+MATCH("Politics",Parsed!$C$2:$C$10,0))=INDEX(Parsed!$H$2:$H$190,(MATCH(A59,Data!$B$2:$B$22,0)-1)*9+MATCH("Politics",Parsed!$C$2:$C$10,0)),INDEX(Parsed!$M$2:$M$190,(MATCH(B59,Data!$B$2:$B$22,0)-1)*9+MATCH("Politics",Parsed!$C$2:$C$10,0))*INDEX(Parsed!$I$2:$I$190,(MATCH(A59,Data!$B$2:$B$22,0)-1)*9+MATCH("Politics",Parsed!$C$2:$C$10,0)),0)+IF(INDEX(Parsed!$K$2:$K$190,(MATCH(B59,Data!$B$2:$B$22,0)-1)*9+MATCH("Marriage",Parsed!$C$2:$C$10,0))=INDEX(Parsed!$H$2:$H$190,(MATCH(A59,Data!$B$2:$B$22,0)-1)*9+MATCH("Marriage",Parsed!$C$2:$C$10,0)),INDEX(Parsed!$M$2:$M$190,(MATCH(B59,Data!$B$2:$B$22,0)-1)*9+MATCH("Marriage",Parsed!$C$2:$C$10,0))*INDEX(Parsed!$I$2:$I$190,(MATCH(A59,Data!$B$2:$B$22,0)-1)*9+MATCH("Marriage",Parsed!$C$2:$C$10,0)),0)+IF(INDEX(Parsed!$K$2:$K$190,(MATCH(B59,Data!$B$2:$B$22,0)-1)*9+MATCH("Children",Parsed!$C$2:$C$10,0))=INDEX(Parsed!$H$2:$H$190,(MATCH(A59,Data!$B$2:$B$22,0)-1)*9+MATCH("Children",Parsed!$C$2:$C$10,0)),INDEX(Parsed!$M$2:$M$190,(MATCH(B59,Data!$B$2:$B$22,0)-1)*9+MATCH("Children",Parsed!$C$2:$C$10,0))*INDEX(Parsed!$I$2:$I$190,(MATCH(A59,Data!$B$2:$B$22,0)-1)*9+MATCH("Children",Parsed!$C$2:$C$10,0)),0)+IF(INDEX(Parsed!$K$2:$K$190,(MATCH(B59,Data!$B$2:$B$22,0)-1)*9+MATCH("Ethicity",Parsed!$C$2:$C$10,0))=INDEX(Parsed!$H$2:$H$190,(MATCH(A59,Data!$B$2:$B$22,0)-1)*9+MATCH("Ethicity",Parsed!$C$2:$C$10,0)),INDEX(Parsed!$M$2:$M$190,(MATCH(B59,Data!$B$2:$B$22,0)-1)*9+MATCH("Ethicity",Parsed!$C$2:$C$10,0))*INDEX(Parsed!$I$2:$I$190,(MATCH(A59,Data!$B$2:$B$22,0)-1)*9+MATCH("Ethicity",Parsed!$C$2:$C$10,0)),0)+IF(INDEX(Parsed!$K$2:$K$190,(MATCH(B59,Data!$B$2:$B$22,0)-1)*9+MATCH("Past",Parsed!$C$2:$C$10,0))=INDEX(Parsed!$H$2:$H$190,(MATCH(A59,Data!$B$2:$B$22,0)-1)*9+MATCH("Past",Parsed!$C$2:$C$10,0)),INDEX(Parsed!$M$2:$M$190,(MATCH(B59,Data!$B$2:$B$22,0)-1)*9+MATCH("Past",Parsed!$C$2:$C$10,0))*INDEX(Parsed!$I$2:$I$190,(MATCH(A59,Data!$B$2:$B$22,0)-1)*9+MATCH("Past",Parsed!$C$2:$C$10,0)),0)+IF(INDEX(Parsed!$K$2:$K$190,(MATCH(B59,Data!$B$2:$B$22,0)-1)*9+MATCH("D/S",Parsed!$C$2:$C$10,0))=INDEX(Parsed!$H$2:$H$190,(MATCH(A59,Data!$B$2:$B$22,0)-1)*9+MATCH("D/S",Parsed!$C$2:$C$10,0)),INDEX(Parsed!$M$2:$M$190,(MATCH(B59,Data!$B$2:$B$22,0)-1)*9+MATCH("D/S",Parsed!$C$2:$C$10,0))*INDEX(Parsed!$I$2:$I$190,(MATCH(A59,Data!$B$2:$B$22,0)-1)*9+MATCH("D/S",Parsed!$C$2:$C$10,0)),0)+IF(INDEX(Parsed!$K$2:$K$190,(MATCH(B59,Data!$B$2:$B$22,0)-1)*9+MATCH("True/kind",Parsed!$C$2:$C$10,0))=INDEX(Parsed!$H$2:$H$190,(MATCH(A59,Data!$B$2:$B$22,0)-1)*9+MATCH("True/kind",Parsed!$C$2:$C$10,0)),INDEX(Parsed!$M$2:$M$190,(MATCH(B59,Data!$B$2:$B$22,0)-1)*9+MATCH("True/kind",Parsed!$C$2:$C$10,0))*INDEX(Parsed!$I$2:$I$190,(MATCH(A59,Data!$B$2:$B$22,0)-1)*9+MATCH("True/kind",Parsed!$C$2:$C$10,0)),0)+IF(INDEX(Parsed!$K$2:$K$190,(MATCH(B59,Data!$B$2:$B$22,0)-1)*9+MATCH("Animal",Parsed!$C$2:$C$10,0))=INDEX(Parsed!$H$2:$H$190,(MATCH(A59,Data!$B$2:$B$22,0)-1)*9+MATCH("Animal",Parsed!$C$2:$C$10,0)),INDEX(Parsed!$M$2:$M$190,(MATCH(B59,Data!$B$2:$B$22,0)-1)*9+MATCH("Animal",Parsed!$C$2:$C$10,0))*INDEX(Parsed!$I$2:$I$190,(MATCH(A59,Data!$B$2:$B$22,0)-1)*9+MATCH("Animal",Parsed!$C$2:$C$10,0)),0),0)</x:f>
        <x:v>33.75</x:v>
      </x:c>
      <x:c r="D59" s="11" t="n">
        <x:f>IFERROR(IF(INDEX(Parsed!$K$2:$K$190,(MATCH(A59,Data!$B$2:$B$22,0)-1)*9+MATCH("God",Parsed!$C$2:$C$10,0))=INDEX(Parsed!$H$2:$H$190,(MATCH(B59,Data!$B$2:$B$22,0)-1)*9+MATCH("God",Parsed!$C$2:$C$10,0)),INDEX(Parsed!$M$2:$M$190,(MATCH(A59,Data!$B$2:$B$22,0)-1)*9+MATCH("God",Parsed!$C$2:$C$10,0))*INDEX(Parsed!$I$2:$I$190,(MATCH(B59,Data!$B$2:$B$22,0)-1)*9+MATCH("God",Parsed!$C$2:$C$10,0)),0)+IF(INDEX(Parsed!$K$2:$K$190,(MATCH(A59,Data!$B$2:$B$22,0)-1)*9+MATCH("Politics",Parsed!$C$2:$C$10,0))=INDEX(Parsed!$H$2:$H$190,(MATCH(B59,Data!$B$2:$B$22,0)-1)*9+MATCH("Politics",Parsed!$C$2:$C$10,0)),INDEX(Parsed!$M$2:$M$190,(MATCH(A59,Data!$B$2:$B$22,0)-1)*9+MATCH("Politics",Parsed!$C$2:$C$10,0))*INDEX(Parsed!$I$2:$I$190,(MATCH(B59,Data!$B$2:$B$22,0)-1)*9+MATCH("Politics",Parsed!$C$2:$C$10,0)),0)+IF(INDEX(Parsed!$K$2:$K$190,(MATCH(A59,Data!$B$2:$B$22,0)-1)*9+MATCH("Marriage",Parsed!$C$2:$C$10,0))=INDEX(Parsed!$H$2:$H$190,(MATCH(B59,Data!$B$2:$B$22,0)-1)*9+MATCH("Marriage",Parsed!$C$2:$C$10,0)),INDEX(Parsed!$M$2:$M$190,(MATCH(A59,Data!$B$2:$B$22,0)-1)*9+MATCH("Marriage",Parsed!$C$2:$C$10,0))*INDEX(Parsed!$I$2:$I$190,(MATCH(B59,Data!$B$2:$B$22,0)-1)*9+MATCH("Marriage",Parsed!$C$2:$C$10,0)),0)+IF(INDEX(Parsed!$K$2:$K$190,(MATCH(A59,Data!$B$2:$B$22,0)-1)*9+MATCH("Children",Parsed!$C$2:$C$10,0))=INDEX(Parsed!$H$2:$H$190,(MATCH(B59,Data!$B$2:$B$22,0)-1)*9+MATCH("Children",Parsed!$C$2:$C$10,0)),INDEX(Parsed!$M$2:$M$190,(MATCH(A59,Data!$B$2:$B$22,0)-1)*9+MATCH("Children",Parsed!$C$2:$C$10,0))*INDEX(Parsed!$I$2:$I$190,(MATCH(B59,Data!$B$2:$B$22,0)-1)*9+MATCH("Children",Parsed!$C$2:$C$10,0)),0)+IF(INDEX(Parsed!$K$2:$K$190,(MATCH(A59,Data!$B$2:$B$22,0)-1)*9+MATCH("Ethicity",Parsed!$C$2:$C$10,0))=INDEX(Parsed!$H$2:$H$190,(MATCH(B59,Data!$B$2:$B$22,0)-1)*9+MATCH("Ethicity",Parsed!$C$2:$C$10,0)),INDEX(Parsed!$M$2:$M$190,(MATCH(A59,Data!$B$2:$B$22,0)-1)*9+MATCH("Ethicity",Parsed!$C$2:$C$10,0))*INDEX(Parsed!$I$2:$I$190,(MATCH(B59,Data!$B$2:$B$22,0)-1)*9+MATCH("Ethicity",Parsed!$C$2:$C$10,0)),0)+IF(INDEX(Parsed!$K$2:$K$190,(MATCH(A59,Data!$B$2:$B$22,0)-1)*9+MATCH("Past",Parsed!$C$2:$C$10,0))=INDEX(Parsed!$H$2:$H$190,(MATCH(B59,Data!$B$2:$B$22,0)-1)*9+MATCH("Past",Parsed!$C$2:$C$10,0)),INDEX(Parsed!$M$2:$M$190,(MATCH(A59,Data!$B$2:$B$22,0)-1)*9+MATCH("Past",Parsed!$C$2:$C$10,0))*INDEX(Parsed!$I$2:$I$190,(MATCH(B59,Data!$B$2:$B$22,0)-1)*9+MATCH("Past",Parsed!$C$2:$C$10,0)),0)+IF(INDEX(Parsed!$K$2:$K$190,(MATCH(A59,Data!$B$2:$B$22,0)-1)*9+MATCH("D/S",Parsed!$C$2:$C$10,0))=INDEX(Parsed!$H$2:$H$190,(MATCH(B59,Data!$B$2:$B$22,0)-1)*9+MATCH("D/S",Parsed!$C$2:$C$10,0)),INDEX(Parsed!$M$2:$M$190,(MATCH(A59,Data!$B$2:$B$22,0)-1)*9+MATCH("D/S",Parsed!$C$2:$C$10,0))*INDEX(Parsed!$I$2:$I$190,(MATCH(B59,Data!$B$2:$B$22,0)-1)*9+MATCH("D/S",Parsed!$C$2:$C$10,0)),0)+IF(INDEX(Parsed!$K$2:$K$190,(MATCH(A59,Data!$B$2:$B$22,0)-1)*9+MATCH("True/kind",Parsed!$C$2:$C$10,0))=INDEX(Parsed!$H$2:$H$190,(MATCH(B59,Data!$B$2:$B$22,0)-1)*9+MATCH("True/kind",Parsed!$C$2:$C$10,0)),INDEX(Parsed!$M$2:$M$190,(MATCH(A59,Data!$B$2:$B$22,0)-1)*9+MATCH("True/kind",Parsed!$C$2:$C$10,0))*INDEX(Parsed!$I$2:$I$190,(MATCH(B59,Data!$B$2:$B$22,0)-1)*9+MATCH("True/kind",Parsed!$C$2:$C$10,0)),0)+IF(INDEX(Parsed!$K$2:$K$190,(MATCH(A59,Data!$B$2:$B$22,0)-1)*9+MATCH("Animal",Parsed!$C$2:$C$10,0))=INDEX(Parsed!$H$2:$H$190,(MATCH(B59,Data!$B$2:$B$22,0)-1)*9+MATCH("Animal",Parsed!$C$2:$C$10,0)),INDEX(Parsed!$M$2:$M$190,(MATCH(A59,Data!$B$2:$B$22,0)-1)*9+MATCH("Animal",Parsed!$C$2:$C$10,0))*INDEX(Parsed!$I$2:$I$190,(MATCH(B59,Data!$B$2:$B$22,0)-1)*9+MATCH("Animal",Parsed!$C$2:$C$10,0)),0),0)</x:f>
        <x:v>55</x:v>
      </x:c>
      <x:c r="E59" s="11" t="n">
        <x:f>SQRT(C59*D59)</x:f>
        <x:v>43.084219849035215</x:v>
      </x:c>
    </x:row>
    <x:row r="60">
      <x:c r="A60" t="str">
        <x:v>tony</x:v>
      </x:c>
      <x:c r="B60" t="str">
        <x:v>edith</x:v>
      </x:c>
      <x:c r="C60" s="11" t="n">
        <x:f>IFERROR(IF(INDEX(Parsed!$K$2:$K$190,(MATCH(B60,Data!$B$2:$B$22,0)-1)*9+MATCH("God",Parsed!$C$2:$C$10,0))=INDEX(Parsed!$H$2:$H$190,(MATCH(A60,Data!$B$2:$B$22,0)-1)*9+MATCH("God",Parsed!$C$2:$C$10,0)),INDEX(Parsed!$M$2:$M$190,(MATCH(B60,Data!$B$2:$B$22,0)-1)*9+MATCH("God",Parsed!$C$2:$C$10,0))*INDEX(Parsed!$I$2:$I$190,(MATCH(A60,Data!$B$2:$B$22,0)-1)*9+MATCH("God",Parsed!$C$2:$C$10,0)),0)+IF(INDEX(Parsed!$K$2:$K$190,(MATCH(B60,Data!$B$2:$B$22,0)-1)*9+MATCH("Politics",Parsed!$C$2:$C$10,0))=INDEX(Parsed!$H$2:$H$190,(MATCH(A60,Data!$B$2:$B$22,0)-1)*9+MATCH("Politics",Parsed!$C$2:$C$10,0)),INDEX(Parsed!$M$2:$M$190,(MATCH(B60,Data!$B$2:$B$22,0)-1)*9+MATCH("Politics",Parsed!$C$2:$C$10,0))*INDEX(Parsed!$I$2:$I$190,(MATCH(A60,Data!$B$2:$B$22,0)-1)*9+MATCH("Politics",Parsed!$C$2:$C$10,0)),0)+IF(INDEX(Parsed!$K$2:$K$190,(MATCH(B60,Data!$B$2:$B$22,0)-1)*9+MATCH("Marriage",Parsed!$C$2:$C$10,0))=INDEX(Parsed!$H$2:$H$190,(MATCH(A60,Data!$B$2:$B$22,0)-1)*9+MATCH("Marriage",Parsed!$C$2:$C$10,0)),INDEX(Parsed!$M$2:$M$190,(MATCH(B60,Data!$B$2:$B$22,0)-1)*9+MATCH("Marriage",Parsed!$C$2:$C$10,0))*INDEX(Parsed!$I$2:$I$190,(MATCH(A60,Data!$B$2:$B$22,0)-1)*9+MATCH("Marriage",Parsed!$C$2:$C$10,0)),0)+IF(INDEX(Parsed!$K$2:$K$190,(MATCH(B60,Data!$B$2:$B$22,0)-1)*9+MATCH("Children",Parsed!$C$2:$C$10,0))=INDEX(Parsed!$H$2:$H$190,(MATCH(A60,Data!$B$2:$B$22,0)-1)*9+MATCH("Children",Parsed!$C$2:$C$10,0)),INDEX(Parsed!$M$2:$M$190,(MATCH(B60,Data!$B$2:$B$22,0)-1)*9+MATCH("Children",Parsed!$C$2:$C$10,0))*INDEX(Parsed!$I$2:$I$190,(MATCH(A60,Data!$B$2:$B$22,0)-1)*9+MATCH("Children",Parsed!$C$2:$C$10,0)),0)+IF(INDEX(Parsed!$K$2:$K$190,(MATCH(B60,Data!$B$2:$B$22,0)-1)*9+MATCH("Ethicity",Parsed!$C$2:$C$10,0))=INDEX(Parsed!$H$2:$H$190,(MATCH(A60,Data!$B$2:$B$22,0)-1)*9+MATCH("Ethicity",Parsed!$C$2:$C$10,0)),INDEX(Parsed!$M$2:$M$190,(MATCH(B60,Data!$B$2:$B$22,0)-1)*9+MATCH("Ethicity",Parsed!$C$2:$C$10,0))*INDEX(Parsed!$I$2:$I$190,(MATCH(A60,Data!$B$2:$B$22,0)-1)*9+MATCH("Ethicity",Parsed!$C$2:$C$10,0)),0)+IF(INDEX(Parsed!$K$2:$K$190,(MATCH(B60,Data!$B$2:$B$22,0)-1)*9+MATCH("Past",Parsed!$C$2:$C$10,0))=INDEX(Parsed!$H$2:$H$190,(MATCH(A60,Data!$B$2:$B$22,0)-1)*9+MATCH("Past",Parsed!$C$2:$C$10,0)),INDEX(Parsed!$M$2:$M$190,(MATCH(B60,Data!$B$2:$B$22,0)-1)*9+MATCH("Past",Parsed!$C$2:$C$10,0))*INDEX(Parsed!$I$2:$I$190,(MATCH(A60,Data!$B$2:$B$22,0)-1)*9+MATCH("Past",Parsed!$C$2:$C$10,0)),0)+IF(INDEX(Parsed!$K$2:$K$190,(MATCH(B60,Data!$B$2:$B$22,0)-1)*9+MATCH("D/S",Parsed!$C$2:$C$10,0))=INDEX(Parsed!$H$2:$H$190,(MATCH(A60,Data!$B$2:$B$22,0)-1)*9+MATCH("D/S",Parsed!$C$2:$C$10,0)),INDEX(Parsed!$M$2:$M$190,(MATCH(B60,Data!$B$2:$B$22,0)-1)*9+MATCH("D/S",Parsed!$C$2:$C$10,0))*INDEX(Parsed!$I$2:$I$190,(MATCH(A60,Data!$B$2:$B$22,0)-1)*9+MATCH("D/S",Parsed!$C$2:$C$10,0)),0)+IF(INDEX(Parsed!$K$2:$K$190,(MATCH(B60,Data!$B$2:$B$22,0)-1)*9+MATCH("True/kind",Parsed!$C$2:$C$10,0))=INDEX(Parsed!$H$2:$H$190,(MATCH(A60,Data!$B$2:$B$22,0)-1)*9+MATCH("True/kind",Parsed!$C$2:$C$10,0)),INDEX(Parsed!$M$2:$M$190,(MATCH(B60,Data!$B$2:$B$22,0)-1)*9+MATCH("True/kind",Parsed!$C$2:$C$10,0))*INDEX(Parsed!$I$2:$I$190,(MATCH(A60,Data!$B$2:$B$22,0)-1)*9+MATCH("True/kind",Parsed!$C$2:$C$10,0)),0)+IF(INDEX(Parsed!$K$2:$K$190,(MATCH(B60,Data!$B$2:$B$22,0)-1)*9+MATCH("Animal",Parsed!$C$2:$C$10,0))=INDEX(Parsed!$H$2:$H$190,(MATCH(A60,Data!$B$2:$B$22,0)-1)*9+MATCH("Animal",Parsed!$C$2:$C$10,0)),INDEX(Parsed!$M$2:$M$190,(MATCH(B60,Data!$B$2:$B$22,0)-1)*9+MATCH("Animal",Parsed!$C$2:$C$10,0))*INDEX(Parsed!$I$2:$I$190,(MATCH(A60,Data!$B$2:$B$22,0)-1)*9+MATCH("Animal",Parsed!$C$2:$C$10,0)),0),0)</x:f>
        <x:v>68.75</x:v>
      </x:c>
      <x:c r="D60" s="11" t="n">
        <x:f>IFERROR(IF(INDEX(Parsed!$K$2:$K$190,(MATCH(A60,Data!$B$2:$B$22,0)-1)*9+MATCH("God",Parsed!$C$2:$C$10,0))=INDEX(Parsed!$H$2:$H$190,(MATCH(B60,Data!$B$2:$B$22,0)-1)*9+MATCH("God",Parsed!$C$2:$C$10,0)),INDEX(Parsed!$M$2:$M$190,(MATCH(A60,Data!$B$2:$B$22,0)-1)*9+MATCH("God",Parsed!$C$2:$C$10,0))*INDEX(Parsed!$I$2:$I$190,(MATCH(B60,Data!$B$2:$B$22,0)-1)*9+MATCH("God",Parsed!$C$2:$C$10,0)),0)+IF(INDEX(Parsed!$K$2:$K$190,(MATCH(A60,Data!$B$2:$B$22,0)-1)*9+MATCH("Politics",Parsed!$C$2:$C$10,0))=INDEX(Parsed!$H$2:$H$190,(MATCH(B60,Data!$B$2:$B$22,0)-1)*9+MATCH("Politics",Parsed!$C$2:$C$10,0)),INDEX(Parsed!$M$2:$M$190,(MATCH(A60,Data!$B$2:$B$22,0)-1)*9+MATCH("Politics",Parsed!$C$2:$C$10,0))*INDEX(Parsed!$I$2:$I$190,(MATCH(B60,Data!$B$2:$B$22,0)-1)*9+MATCH("Politics",Parsed!$C$2:$C$10,0)),0)+IF(INDEX(Parsed!$K$2:$K$190,(MATCH(A60,Data!$B$2:$B$22,0)-1)*9+MATCH("Marriage",Parsed!$C$2:$C$10,0))=INDEX(Parsed!$H$2:$H$190,(MATCH(B60,Data!$B$2:$B$22,0)-1)*9+MATCH("Marriage",Parsed!$C$2:$C$10,0)),INDEX(Parsed!$M$2:$M$190,(MATCH(A60,Data!$B$2:$B$22,0)-1)*9+MATCH("Marriage",Parsed!$C$2:$C$10,0))*INDEX(Parsed!$I$2:$I$190,(MATCH(B60,Data!$B$2:$B$22,0)-1)*9+MATCH("Marriage",Parsed!$C$2:$C$10,0)),0)+IF(INDEX(Parsed!$K$2:$K$190,(MATCH(A60,Data!$B$2:$B$22,0)-1)*9+MATCH("Children",Parsed!$C$2:$C$10,0))=INDEX(Parsed!$H$2:$H$190,(MATCH(B60,Data!$B$2:$B$22,0)-1)*9+MATCH("Children",Parsed!$C$2:$C$10,0)),INDEX(Parsed!$M$2:$M$190,(MATCH(A60,Data!$B$2:$B$22,0)-1)*9+MATCH("Children",Parsed!$C$2:$C$10,0))*INDEX(Parsed!$I$2:$I$190,(MATCH(B60,Data!$B$2:$B$22,0)-1)*9+MATCH("Children",Parsed!$C$2:$C$10,0)),0)+IF(INDEX(Parsed!$K$2:$K$190,(MATCH(A60,Data!$B$2:$B$22,0)-1)*9+MATCH("Ethicity",Parsed!$C$2:$C$10,0))=INDEX(Parsed!$H$2:$H$190,(MATCH(B60,Data!$B$2:$B$22,0)-1)*9+MATCH("Ethicity",Parsed!$C$2:$C$10,0)),INDEX(Parsed!$M$2:$M$190,(MATCH(A60,Data!$B$2:$B$22,0)-1)*9+MATCH("Ethicity",Parsed!$C$2:$C$10,0))*INDEX(Parsed!$I$2:$I$190,(MATCH(B60,Data!$B$2:$B$22,0)-1)*9+MATCH("Ethicity",Parsed!$C$2:$C$10,0)),0)+IF(INDEX(Parsed!$K$2:$K$190,(MATCH(A60,Data!$B$2:$B$22,0)-1)*9+MATCH("Past",Parsed!$C$2:$C$10,0))=INDEX(Parsed!$H$2:$H$190,(MATCH(B60,Data!$B$2:$B$22,0)-1)*9+MATCH("Past",Parsed!$C$2:$C$10,0)),INDEX(Parsed!$M$2:$M$190,(MATCH(A60,Data!$B$2:$B$22,0)-1)*9+MATCH("Past",Parsed!$C$2:$C$10,0))*INDEX(Parsed!$I$2:$I$190,(MATCH(B60,Data!$B$2:$B$22,0)-1)*9+MATCH("Past",Parsed!$C$2:$C$10,0)),0)+IF(INDEX(Parsed!$K$2:$K$190,(MATCH(A60,Data!$B$2:$B$22,0)-1)*9+MATCH("D/S",Parsed!$C$2:$C$10,0))=INDEX(Parsed!$H$2:$H$190,(MATCH(B60,Data!$B$2:$B$22,0)-1)*9+MATCH("D/S",Parsed!$C$2:$C$10,0)),INDEX(Parsed!$M$2:$M$190,(MATCH(A60,Data!$B$2:$B$22,0)-1)*9+MATCH("D/S",Parsed!$C$2:$C$10,0))*INDEX(Parsed!$I$2:$I$190,(MATCH(B60,Data!$B$2:$B$22,0)-1)*9+MATCH("D/S",Parsed!$C$2:$C$10,0)),0)+IF(INDEX(Parsed!$K$2:$K$190,(MATCH(A60,Data!$B$2:$B$22,0)-1)*9+MATCH("True/kind",Parsed!$C$2:$C$10,0))=INDEX(Parsed!$H$2:$H$190,(MATCH(B60,Data!$B$2:$B$22,0)-1)*9+MATCH("True/kind",Parsed!$C$2:$C$10,0)),INDEX(Parsed!$M$2:$M$190,(MATCH(A60,Data!$B$2:$B$22,0)-1)*9+MATCH("True/kind",Parsed!$C$2:$C$10,0))*INDEX(Parsed!$I$2:$I$190,(MATCH(B60,Data!$B$2:$B$22,0)-1)*9+MATCH("True/kind",Parsed!$C$2:$C$10,0)),0)+IF(INDEX(Parsed!$K$2:$K$190,(MATCH(A60,Data!$B$2:$B$22,0)-1)*9+MATCH("Animal",Parsed!$C$2:$C$10,0))=INDEX(Parsed!$H$2:$H$190,(MATCH(B60,Data!$B$2:$B$22,0)-1)*9+MATCH("Animal",Parsed!$C$2:$C$10,0)),INDEX(Parsed!$M$2:$M$190,(MATCH(A60,Data!$B$2:$B$22,0)-1)*9+MATCH("Animal",Parsed!$C$2:$C$10,0))*INDEX(Parsed!$I$2:$I$190,(MATCH(B60,Data!$B$2:$B$22,0)-1)*9+MATCH("Animal",Parsed!$C$2:$C$10,0)),0),0)</x:f>
        <x:v>65</x:v>
      </x:c>
      <x:c r="E60" s="11" t="n">
        <x:f>SQRT(C60*D60)</x:f>
        <x:v>66.84870978560468</x:v>
      </x:c>
    </x:row>
    <x:row r="61">
      <x:c r="A61" t="str">
        <x:v>tony</x:v>
      </x:c>
      <x:c r="B61" t="str">
        <x:v>sophiah</x:v>
      </x:c>
      <x:c r="C61" s="11" t="n">
        <x:f>IFERROR(IF(INDEX(Parsed!$K$2:$K$190,(MATCH(B61,Data!$B$2:$B$22,0)-1)*9+MATCH("God",Parsed!$C$2:$C$10,0))=INDEX(Parsed!$H$2:$H$190,(MATCH(A61,Data!$B$2:$B$22,0)-1)*9+MATCH("God",Parsed!$C$2:$C$10,0)),INDEX(Parsed!$M$2:$M$190,(MATCH(B61,Data!$B$2:$B$22,0)-1)*9+MATCH("God",Parsed!$C$2:$C$10,0))*INDEX(Parsed!$I$2:$I$190,(MATCH(A61,Data!$B$2:$B$22,0)-1)*9+MATCH("God",Parsed!$C$2:$C$10,0)),0)+IF(INDEX(Parsed!$K$2:$K$190,(MATCH(B61,Data!$B$2:$B$22,0)-1)*9+MATCH("Politics",Parsed!$C$2:$C$10,0))=INDEX(Parsed!$H$2:$H$190,(MATCH(A61,Data!$B$2:$B$22,0)-1)*9+MATCH("Politics",Parsed!$C$2:$C$10,0)),INDEX(Parsed!$M$2:$M$190,(MATCH(B61,Data!$B$2:$B$22,0)-1)*9+MATCH("Politics",Parsed!$C$2:$C$10,0))*INDEX(Parsed!$I$2:$I$190,(MATCH(A61,Data!$B$2:$B$22,0)-1)*9+MATCH("Politics",Parsed!$C$2:$C$10,0)),0)+IF(INDEX(Parsed!$K$2:$K$190,(MATCH(B61,Data!$B$2:$B$22,0)-1)*9+MATCH("Marriage",Parsed!$C$2:$C$10,0))=INDEX(Parsed!$H$2:$H$190,(MATCH(A61,Data!$B$2:$B$22,0)-1)*9+MATCH("Marriage",Parsed!$C$2:$C$10,0)),INDEX(Parsed!$M$2:$M$190,(MATCH(B61,Data!$B$2:$B$22,0)-1)*9+MATCH("Marriage",Parsed!$C$2:$C$10,0))*INDEX(Parsed!$I$2:$I$190,(MATCH(A61,Data!$B$2:$B$22,0)-1)*9+MATCH("Marriage",Parsed!$C$2:$C$10,0)),0)+IF(INDEX(Parsed!$K$2:$K$190,(MATCH(B61,Data!$B$2:$B$22,0)-1)*9+MATCH("Children",Parsed!$C$2:$C$10,0))=INDEX(Parsed!$H$2:$H$190,(MATCH(A61,Data!$B$2:$B$22,0)-1)*9+MATCH("Children",Parsed!$C$2:$C$10,0)),INDEX(Parsed!$M$2:$M$190,(MATCH(B61,Data!$B$2:$B$22,0)-1)*9+MATCH("Children",Parsed!$C$2:$C$10,0))*INDEX(Parsed!$I$2:$I$190,(MATCH(A61,Data!$B$2:$B$22,0)-1)*9+MATCH("Children",Parsed!$C$2:$C$10,0)),0)+IF(INDEX(Parsed!$K$2:$K$190,(MATCH(B61,Data!$B$2:$B$22,0)-1)*9+MATCH("Ethicity",Parsed!$C$2:$C$10,0))=INDEX(Parsed!$H$2:$H$190,(MATCH(A61,Data!$B$2:$B$22,0)-1)*9+MATCH("Ethicity",Parsed!$C$2:$C$10,0)),INDEX(Parsed!$M$2:$M$190,(MATCH(B61,Data!$B$2:$B$22,0)-1)*9+MATCH("Ethicity",Parsed!$C$2:$C$10,0))*INDEX(Parsed!$I$2:$I$190,(MATCH(A61,Data!$B$2:$B$22,0)-1)*9+MATCH("Ethicity",Parsed!$C$2:$C$10,0)),0)+IF(INDEX(Parsed!$K$2:$K$190,(MATCH(B61,Data!$B$2:$B$22,0)-1)*9+MATCH("Past",Parsed!$C$2:$C$10,0))=INDEX(Parsed!$H$2:$H$190,(MATCH(A61,Data!$B$2:$B$22,0)-1)*9+MATCH("Past",Parsed!$C$2:$C$10,0)),INDEX(Parsed!$M$2:$M$190,(MATCH(B61,Data!$B$2:$B$22,0)-1)*9+MATCH("Past",Parsed!$C$2:$C$10,0))*INDEX(Parsed!$I$2:$I$190,(MATCH(A61,Data!$B$2:$B$22,0)-1)*9+MATCH("Past",Parsed!$C$2:$C$10,0)),0)+IF(INDEX(Parsed!$K$2:$K$190,(MATCH(B61,Data!$B$2:$B$22,0)-1)*9+MATCH("D/S",Parsed!$C$2:$C$10,0))=INDEX(Parsed!$H$2:$H$190,(MATCH(A61,Data!$B$2:$B$22,0)-1)*9+MATCH("D/S",Parsed!$C$2:$C$10,0)),INDEX(Parsed!$M$2:$M$190,(MATCH(B61,Data!$B$2:$B$22,0)-1)*9+MATCH("D/S",Parsed!$C$2:$C$10,0))*INDEX(Parsed!$I$2:$I$190,(MATCH(A61,Data!$B$2:$B$22,0)-1)*9+MATCH("D/S",Parsed!$C$2:$C$10,0)),0)+IF(INDEX(Parsed!$K$2:$K$190,(MATCH(B61,Data!$B$2:$B$22,0)-1)*9+MATCH("True/kind",Parsed!$C$2:$C$10,0))=INDEX(Parsed!$H$2:$H$190,(MATCH(A61,Data!$B$2:$B$22,0)-1)*9+MATCH("True/kind",Parsed!$C$2:$C$10,0)),INDEX(Parsed!$M$2:$M$190,(MATCH(B61,Data!$B$2:$B$22,0)-1)*9+MATCH("True/kind",Parsed!$C$2:$C$10,0))*INDEX(Parsed!$I$2:$I$190,(MATCH(A61,Data!$B$2:$B$22,0)-1)*9+MATCH("True/kind",Parsed!$C$2:$C$10,0)),0)+IF(INDEX(Parsed!$K$2:$K$190,(MATCH(B61,Data!$B$2:$B$22,0)-1)*9+MATCH("Animal",Parsed!$C$2:$C$10,0))=INDEX(Parsed!$H$2:$H$190,(MATCH(A61,Data!$B$2:$B$22,0)-1)*9+MATCH("Animal",Parsed!$C$2:$C$10,0)),INDEX(Parsed!$M$2:$M$190,(MATCH(B61,Data!$B$2:$B$22,0)-1)*9+MATCH("Animal",Parsed!$C$2:$C$10,0))*INDEX(Parsed!$I$2:$I$190,(MATCH(A61,Data!$B$2:$B$22,0)-1)*9+MATCH("Animal",Parsed!$C$2:$C$10,0)),0),0)</x:f>
        <x:v>75</x:v>
      </x:c>
      <x:c r="D61" s="11" t="n">
        <x:f>IFERROR(IF(INDEX(Parsed!$K$2:$K$190,(MATCH(A61,Data!$B$2:$B$22,0)-1)*9+MATCH("God",Parsed!$C$2:$C$10,0))=INDEX(Parsed!$H$2:$H$190,(MATCH(B61,Data!$B$2:$B$22,0)-1)*9+MATCH("God",Parsed!$C$2:$C$10,0)),INDEX(Parsed!$M$2:$M$190,(MATCH(A61,Data!$B$2:$B$22,0)-1)*9+MATCH("God",Parsed!$C$2:$C$10,0))*INDEX(Parsed!$I$2:$I$190,(MATCH(B61,Data!$B$2:$B$22,0)-1)*9+MATCH("God",Parsed!$C$2:$C$10,0)),0)+IF(INDEX(Parsed!$K$2:$K$190,(MATCH(A61,Data!$B$2:$B$22,0)-1)*9+MATCH("Politics",Parsed!$C$2:$C$10,0))=INDEX(Parsed!$H$2:$H$190,(MATCH(B61,Data!$B$2:$B$22,0)-1)*9+MATCH("Politics",Parsed!$C$2:$C$10,0)),INDEX(Parsed!$M$2:$M$190,(MATCH(A61,Data!$B$2:$B$22,0)-1)*9+MATCH("Politics",Parsed!$C$2:$C$10,0))*INDEX(Parsed!$I$2:$I$190,(MATCH(B61,Data!$B$2:$B$22,0)-1)*9+MATCH("Politics",Parsed!$C$2:$C$10,0)),0)+IF(INDEX(Parsed!$K$2:$K$190,(MATCH(A61,Data!$B$2:$B$22,0)-1)*9+MATCH("Marriage",Parsed!$C$2:$C$10,0))=INDEX(Parsed!$H$2:$H$190,(MATCH(B61,Data!$B$2:$B$22,0)-1)*9+MATCH("Marriage",Parsed!$C$2:$C$10,0)),INDEX(Parsed!$M$2:$M$190,(MATCH(A61,Data!$B$2:$B$22,0)-1)*9+MATCH("Marriage",Parsed!$C$2:$C$10,0))*INDEX(Parsed!$I$2:$I$190,(MATCH(B61,Data!$B$2:$B$22,0)-1)*9+MATCH("Marriage",Parsed!$C$2:$C$10,0)),0)+IF(INDEX(Parsed!$K$2:$K$190,(MATCH(A61,Data!$B$2:$B$22,0)-1)*9+MATCH("Children",Parsed!$C$2:$C$10,0))=INDEX(Parsed!$H$2:$H$190,(MATCH(B61,Data!$B$2:$B$22,0)-1)*9+MATCH("Children",Parsed!$C$2:$C$10,0)),INDEX(Parsed!$M$2:$M$190,(MATCH(A61,Data!$B$2:$B$22,0)-1)*9+MATCH("Children",Parsed!$C$2:$C$10,0))*INDEX(Parsed!$I$2:$I$190,(MATCH(B61,Data!$B$2:$B$22,0)-1)*9+MATCH("Children",Parsed!$C$2:$C$10,0)),0)+IF(INDEX(Parsed!$K$2:$K$190,(MATCH(A61,Data!$B$2:$B$22,0)-1)*9+MATCH("Ethicity",Parsed!$C$2:$C$10,0))=INDEX(Parsed!$H$2:$H$190,(MATCH(B61,Data!$B$2:$B$22,0)-1)*9+MATCH("Ethicity",Parsed!$C$2:$C$10,0)),INDEX(Parsed!$M$2:$M$190,(MATCH(A61,Data!$B$2:$B$22,0)-1)*9+MATCH("Ethicity",Parsed!$C$2:$C$10,0))*INDEX(Parsed!$I$2:$I$190,(MATCH(B61,Data!$B$2:$B$22,0)-1)*9+MATCH("Ethicity",Parsed!$C$2:$C$10,0)),0)+IF(INDEX(Parsed!$K$2:$K$190,(MATCH(A61,Data!$B$2:$B$22,0)-1)*9+MATCH("Past",Parsed!$C$2:$C$10,0))=INDEX(Parsed!$H$2:$H$190,(MATCH(B61,Data!$B$2:$B$22,0)-1)*9+MATCH("Past",Parsed!$C$2:$C$10,0)),INDEX(Parsed!$M$2:$M$190,(MATCH(A61,Data!$B$2:$B$22,0)-1)*9+MATCH("Past",Parsed!$C$2:$C$10,0))*INDEX(Parsed!$I$2:$I$190,(MATCH(B61,Data!$B$2:$B$22,0)-1)*9+MATCH("Past",Parsed!$C$2:$C$10,0)),0)+IF(INDEX(Parsed!$K$2:$K$190,(MATCH(A61,Data!$B$2:$B$22,0)-1)*9+MATCH("D/S",Parsed!$C$2:$C$10,0))=INDEX(Parsed!$H$2:$H$190,(MATCH(B61,Data!$B$2:$B$22,0)-1)*9+MATCH("D/S",Parsed!$C$2:$C$10,0)),INDEX(Parsed!$M$2:$M$190,(MATCH(A61,Data!$B$2:$B$22,0)-1)*9+MATCH("D/S",Parsed!$C$2:$C$10,0))*INDEX(Parsed!$I$2:$I$190,(MATCH(B61,Data!$B$2:$B$22,0)-1)*9+MATCH("D/S",Parsed!$C$2:$C$10,0)),0)+IF(INDEX(Parsed!$K$2:$K$190,(MATCH(A61,Data!$B$2:$B$22,0)-1)*9+MATCH("True/kind",Parsed!$C$2:$C$10,0))=INDEX(Parsed!$H$2:$H$190,(MATCH(B61,Data!$B$2:$B$22,0)-1)*9+MATCH("True/kind",Parsed!$C$2:$C$10,0)),INDEX(Parsed!$M$2:$M$190,(MATCH(A61,Data!$B$2:$B$22,0)-1)*9+MATCH("True/kind",Parsed!$C$2:$C$10,0))*INDEX(Parsed!$I$2:$I$190,(MATCH(B61,Data!$B$2:$B$22,0)-1)*9+MATCH("True/kind",Parsed!$C$2:$C$10,0)),0)+IF(INDEX(Parsed!$K$2:$K$190,(MATCH(A61,Data!$B$2:$B$22,0)-1)*9+MATCH("Animal",Parsed!$C$2:$C$10,0))=INDEX(Parsed!$H$2:$H$190,(MATCH(B61,Data!$B$2:$B$22,0)-1)*9+MATCH("Animal",Parsed!$C$2:$C$10,0)),INDEX(Parsed!$M$2:$M$190,(MATCH(A61,Data!$B$2:$B$22,0)-1)*9+MATCH("Animal",Parsed!$C$2:$C$10,0))*INDEX(Parsed!$I$2:$I$190,(MATCH(B61,Data!$B$2:$B$22,0)-1)*9+MATCH("Animal",Parsed!$C$2:$C$10,0)),0),0)</x:f>
        <x:v>82.5</x:v>
      </x:c>
      <x:c r="E61" s="11" t="n">
        <x:f>SQRT(C61*D61)</x:f>
        <x:v>78.66066361276137</x:v>
      </x:c>
    </x:row>
    <x:row r="62">
      <x:c r="A62" t="str">
        <x:v>tony</x:v>
      </x:c>
      <x:c r="B62" t="str">
        <x:v>angela</x:v>
      </x:c>
      <x:c r="C62" s="11" t="n">
        <x:f>IFERROR(IF(INDEX(Parsed!$K$2:$K$190,(MATCH(B62,Data!$B$2:$B$22,0)-1)*9+MATCH("God",Parsed!$C$2:$C$10,0))=INDEX(Parsed!$H$2:$H$190,(MATCH(A62,Data!$B$2:$B$22,0)-1)*9+MATCH("God",Parsed!$C$2:$C$10,0)),INDEX(Parsed!$M$2:$M$190,(MATCH(B62,Data!$B$2:$B$22,0)-1)*9+MATCH("God",Parsed!$C$2:$C$10,0))*INDEX(Parsed!$I$2:$I$190,(MATCH(A62,Data!$B$2:$B$22,0)-1)*9+MATCH("God",Parsed!$C$2:$C$10,0)),0)+IF(INDEX(Parsed!$K$2:$K$190,(MATCH(B62,Data!$B$2:$B$22,0)-1)*9+MATCH("Politics",Parsed!$C$2:$C$10,0))=INDEX(Parsed!$H$2:$H$190,(MATCH(A62,Data!$B$2:$B$22,0)-1)*9+MATCH("Politics",Parsed!$C$2:$C$10,0)),INDEX(Parsed!$M$2:$M$190,(MATCH(B62,Data!$B$2:$B$22,0)-1)*9+MATCH("Politics",Parsed!$C$2:$C$10,0))*INDEX(Parsed!$I$2:$I$190,(MATCH(A62,Data!$B$2:$B$22,0)-1)*9+MATCH("Politics",Parsed!$C$2:$C$10,0)),0)+IF(INDEX(Parsed!$K$2:$K$190,(MATCH(B62,Data!$B$2:$B$22,0)-1)*9+MATCH("Marriage",Parsed!$C$2:$C$10,0))=INDEX(Parsed!$H$2:$H$190,(MATCH(A62,Data!$B$2:$B$22,0)-1)*9+MATCH("Marriage",Parsed!$C$2:$C$10,0)),INDEX(Parsed!$M$2:$M$190,(MATCH(B62,Data!$B$2:$B$22,0)-1)*9+MATCH("Marriage",Parsed!$C$2:$C$10,0))*INDEX(Parsed!$I$2:$I$190,(MATCH(A62,Data!$B$2:$B$22,0)-1)*9+MATCH("Marriage",Parsed!$C$2:$C$10,0)),0)+IF(INDEX(Parsed!$K$2:$K$190,(MATCH(B62,Data!$B$2:$B$22,0)-1)*9+MATCH("Children",Parsed!$C$2:$C$10,0))=INDEX(Parsed!$H$2:$H$190,(MATCH(A62,Data!$B$2:$B$22,0)-1)*9+MATCH("Children",Parsed!$C$2:$C$10,0)),INDEX(Parsed!$M$2:$M$190,(MATCH(B62,Data!$B$2:$B$22,0)-1)*9+MATCH("Children",Parsed!$C$2:$C$10,0))*INDEX(Parsed!$I$2:$I$190,(MATCH(A62,Data!$B$2:$B$22,0)-1)*9+MATCH("Children",Parsed!$C$2:$C$10,0)),0)+IF(INDEX(Parsed!$K$2:$K$190,(MATCH(B62,Data!$B$2:$B$22,0)-1)*9+MATCH("Ethicity",Parsed!$C$2:$C$10,0))=INDEX(Parsed!$H$2:$H$190,(MATCH(A62,Data!$B$2:$B$22,0)-1)*9+MATCH("Ethicity",Parsed!$C$2:$C$10,0)),INDEX(Parsed!$M$2:$M$190,(MATCH(B62,Data!$B$2:$B$22,0)-1)*9+MATCH("Ethicity",Parsed!$C$2:$C$10,0))*INDEX(Parsed!$I$2:$I$190,(MATCH(A62,Data!$B$2:$B$22,0)-1)*9+MATCH("Ethicity",Parsed!$C$2:$C$10,0)),0)+IF(INDEX(Parsed!$K$2:$K$190,(MATCH(B62,Data!$B$2:$B$22,0)-1)*9+MATCH("Past",Parsed!$C$2:$C$10,0))=INDEX(Parsed!$H$2:$H$190,(MATCH(A62,Data!$B$2:$B$22,0)-1)*9+MATCH("Past",Parsed!$C$2:$C$10,0)),INDEX(Parsed!$M$2:$M$190,(MATCH(B62,Data!$B$2:$B$22,0)-1)*9+MATCH("Past",Parsed!$C$2:$C$10,0))*INDEX(Parsed!$I$2:$I$190,(MATCH(A62,Data!$B$2:$B$22,0)-1)*9+MATCH("Past",Parsed!$C$2:$C$10,0)),0)+IF(INDEX(Parsed!$K$2:$K$190,(MATCH(B62,Data!$B$2:$B$22,0)-1)*9+MATCH("D/S",Parsed!$C$2:$C$10,0))=INDEX(Parsed!$H$2:$H$190,(MATCH(A62,Data!$B$2:$B$22,0)-1)*9+MATCH("D/S",Parsed!$C$2:$C$10,0)),INDEX(Parsed!$M$2:$M$190,(MATCH(B62,Data!$B$2:$B$22,0)-1)*9+MATCH("D/S",Parsed!$C$2:$C$10,0))*INDEX(Parsed!$I$2:$I$190,(MATCH(A62,Data!$B$2:$B$22,0)-1)*9+MATCH("D/S",Parsed!$C$2:$C$10,0)),0)+IF(INDEX(Parsed!$K$2:$K$190,(MATCH(B62,Data!$B$2:$B$22,0)-1)*9+MATCH("True/kind",Parsed!$C$2:$C$10,0))=INDEX(Parsed!$H$2:$H$190,(MATCH(A62,Data!$B$2:$B$22,0)-1)*9+MATCH("True/kind",Parsed!$C$2:$C$10,0)),INDEX(Parsed!$M$2:$M$190,(MATCH(B62,Data!$B$2:$B$22,0)-1)*9+MATCH("True/kind",Parsed!$C$2:$C$10,0))*INDEX(Parsed!$I$2:$I$190,(MATCH(A62,Data!$B$2:$B$22,0)-1)*9+MATCH("True/kind",Parsed!$C$2:$C$10,0)),0)+IF(INDEX(Parsed!$K$2:$K$190,(MATCH(B62,Data!$B$2:$B$22,0)-1)*9+MATCH("Animal",Parsed!$C$2:$C$10,0))=INDEX(Parsed!$H$2:$H$190,(MATCH(A62,Data!$B$2:$B$22,0)-1)*9+MATCH("Animal",Parsed!$C$2:$C$10,0)),INDEX(Parsed!$M$2:$M$190,(MATCH(B62,Data!$B$2:$B$22,0)-1)*9+MATCH("Animal",Parsed!$C$2:$C$10,0))*INDEX(Parsed!$I$2:$I$190,(MATCH(A62,Data!$B$2:$B$22,0)-1)*9+MATCH("Animal",Parsed!$C$2:$C$10,0)),0),0)</x:f>
        <x:v>80</x:v>
      </x:c>
      <x:c r="D62" s="11" t="n">
        <x:f>IFERROR(IF(INDEX(Parsed!$K$2:$K$190,(MATCH(A62,Data!$B$2:$B$22,0)-1)*9+MATCH("God",Parsed!$C$2:$C$10,0))=INDEX(Parsed!$H$2:$H$190,(MATCH(B62,Data!$B$2:$B$22,0)-1)*9+MATCH("God",Parsed!$C$2:$C$10,0)),INDEX(Parsed!$M$2:$M$190,(MATCH(A62,Data!$B$2:$B$22,0)-1)*9+MATCH("God",Parsed!$C$2:$C$10,0))*INDEX(Parsed!$I$2:$I$190,(MATCH(B62,Data!$B$2:$B$22,0)-1)*9+MATCH("God",Parsed!$C$2:$C$10,0)),0)+IF(INDEX(Parsed!$K$2:$K$190,(MATCH(A62,Data!$B$2:$B$22,0)-1)*9+MATCH("Politics",Parsed!$C$2:$C$10,0))=INDEX(Parsed!$H$2:$H$190,(MATCH(B62,Data!$B$2:$B$22,0)-1)*9+MATCH("Politics",Parsed!$C$2:$C$10,0)),INDEX(Parsed!$M$2:$M$190,(MATCH(A62,Data!$B$2:$B$22,0)-1)*9+MATCH("Politics",Parsed!$C$2:$C$10,0))*INDEX(Parsed!$I$2:$I$190,(MATCH(B62,Data!$B$2:$B$22,0)-1)*9+MATCH("Politics",Parsed!$C$2:$C$10,0)),0)+IF(INDEX(Parsed!$K$2:$K$190,(MATCH(A62,Data!$B$2:$B$22,0)-1)*9+MATCH("Marriage",Parsed!$C$2:$C$10,0))=INDEX(Parsed!$H$2:$H$190,(MATCH(B62,Data!$B$2:$B$22,0)-1)*9+MATCH("Marriage",Parsed!$C$2:$C$10,0)),INDEX(Parsed!$M$2:$M$190,(MATCH(A62,Data!$B$2:$B$22,0)-1)*9+MATCH("Marriage",Parsed!$C$2:$C$10,0))*INDEX(Parsed!$I$2:$I$190,(MATCH(B62,Data!$B$2:$B$22,0)-1)*9+MATCH("Marriage",Parsed!$C$2:$C$10,0)),0)+IF(INDEX(Parsed!$K$2:$K$190,(MATCH(A62,Data!$B$2:$B$22,0)-1)*9+MATCH("Children",Parsed!$C$2:$C$10,0))=INDEX(Parsed!$H$2:$H$190,(MATCH(B62,Data!$B$2:$B$22,0)-1)*9+MATCH("Children",Parsed!$C$2:$C$10,0)),INDEX(Parsed!$M$2:$M$190,(MATCH(A62,Data!$B$2:$B$22,0)-1)*9+MATCH("Children",Parsed!$C$2:$C$10,0))*INDEX(Parsed!$I$2:$I$190,(MATCH(B62,Data!$B$2:$B$22,0)-1)*9+MATCH("Children",Parsed!$C$2:$C$10,0)),0)+IF(INDEX(Parsed!$K$2:$K$190,(MATCH(A62,Data!$B$2:$B$22,0)-1)*9+MATCH("Ethicity",Parsed!$C$2:$C$10,0))=INDEX(Parsed!$H$2:$H$190,(MATCH(B62,Data!$B$2:$B$22,0)-1)*9+MATCH("Ethicity",Parsed!$C$2:$C$10,0)),INDEX(Parsed!$M$2:$M$190,(MATCH(A62,Data!$B$2:$B$22,0)-1)*9+MATCH("Ethicity",Parsed!$C$2:$C$10,0))*INDEX(Parsed!$I$2:$I$190,(MATCH(B62,Data!$B$2:$B$22,0)-1)*9+MATCH("Ethicity",Parsed!$C$2:$C$10,0)),0)+IF(INDEX(Parsed!$K$2:$K$190,(MATCH(A62,Data!$B$2:$B$22,0)-1)*9+MATCH("Past",Parsed!$C$2:$C$10,0))=INDEX(Parsed!$H$2:$H$190,(MATCH(B62,Data!$B$2:$B$22,0)-1)*9+MATCH("Past",Parsed!$C$2:$C$10,0)),INDEX(Parsed!$M$2:$M$190,(MATCH(A62,Data!$B$2:$B$22,0)-1)*9+MATCH("Past",Parsed!$C$2:$C$10,0))*INDEX(Parsed!$I$2:$I$190,(MATCH(B62,Data!$B$2:$B$22,0)-1)*9+MATCH("Past",Parsed!$C$2:$C$10,0)),0)+IF(INDEX(Parsed!$K$2:$K$190,(MATCH(A62,Data!$B$2:$B$22,0)-1)*9+MATCH("D/S",Parsed!$C$2:$C$10,0))=INDEX(Parsed!$H$2:$H$190,(MATCH(B62,Data!$B$2:$B$22,0)-1)*9+MATCH("D/S",Parsed!$C$2:$C$10,0)),INDEX(Parsed!$M$2:$M$190,(MATCH(A62,Data!$B$2:$B$22,0)-1)*9+MATCH("D/S",Parsed!$C$2:$C$10,0))*INDEX(Parsed!$I$2:$I$190,(MATCH(B62,Data!$B$2:$B$22,0)-1)*9+MATCH("D/S",Parsed!$C$2:$C$10,0)),0)+IF(INDEX(Parsed!$K$2:$K$190,(MATCH(A62,Data!$B$2:$B$22,0)-1)*9+MATCH("True/kind",Parsed!$C$2:$C$10,0))=INDEX(Parsed!$H$2:$H$190,(MATCH(B62,Data!$B$2:$B$22,0)-1)*9+MATCH("True/kind",Parsed!$C$2:$C$10,0)),INDEX(Parsed!$M$2:$M$190,(MATCH(A62,Data!$B$2:$B$22,0)-1)*9+MATCH("True/kind",Parsed!$C$2:$C$10,0))*INDEX(Parsed!$I$2:$I$190,(MATCH(B62,Data!$B$2:$B$22,0)-1)*9+MATCH("True/kind",Parsed!$C$2:$C$10,0)),0)+IF(INDEX(Parsed!$K$2:$K$190,(MATCH(A62,Data!$B$2:$B$22,0)-1)*9+MATCH("Animal",Parsed!$C$2:$C$10,0))=INDEX(Parsed!$H$2:$H$190,(MATCH(B62,Data!$B$2:$B$22,0)-1)*9+MATCH("Animal",Parsed!$C$2:$C$10,0)),INDEX(Parsed!$M$2:$M$190,(MATCH(A62,Data!$B$2:$B$22,0)-1)*9+MATCH("Animal",Parsed!$C$2:$C$10,0))*INDEX(Parsed!$I$2:$I$190,(MATCH(B62,Data!$B$2:$B$22,0)-1)*9+MATCH("Animal",Parsed!$C$2:$C$10,0)),0),0)</x:f>
        <x:v>90</x:v>
      </x:c>
      <x:c r="E62" s="11" t="n">
        <x:f>SQRT(C62*D62)</x:f>
        <x:v>84.8528137423857</x:v>
      </x:c>
    </x:row>
    <x:row r="63">
      <x:c r="A63" t="str">
        <x:v>tony</x:v>
      </x:c>
      <x:c r="B63" t="str">
        <x:v>issabel</x:v>
      </x:c>
      <x:c r="C63" s="11" t="n">
        <x:f>IFERROR(IF(INDEX(Parsed!$K$2:$K$190,(MATCH(B63,Data!$B$2:$B$22,0)-1)*9+MATCH("God",Parsed!$C$2:$C$10,0))=INDEX(Parsed!$H$2:$H$190,(MATCH(A63,Data!$B$2:$B$22,0)-1)*9+MATCH("God",Parsed!$C$2:$C$10,0)),INDEX(Parsed!$M$2:$M$190,(MATCH(B63,Data!$B$2:$B$22,0)-1)*9+MATCH("God",Parsed!$C$2:$C$10,0))*INDEX(Parsed!$I$2:$I$190,(MATCH(A63,Data!$B$2:$B$22,0)-1)*9+MATCH("God",Parsed!$C$2:$C$10,0)),0)+IF(INDEX(Parsed!$K$2:$K$190,(MATCH(B63,Data!$B$2:$B$22,0)-1)*9+MATCH("Politics",Parsed!$C$2:$C$10,0))=INDEX(Parsed!$H$2:$H$190,(MATCH(A63,Data!$B$2:$B$22,0)-1)*9+MATCH("Politics",Parsed!$C$2:$C$10,0)),INDEX(Parsed!$M$2:$M$190,(MATCH(B63,Data!$B$2:$B$22,0)-1)*9+MATCH("Politics",Parsed!$C$2:$C$10,0))*INDEX(Parsed!$I$2:$I$190,(MATCH(A63,Data!$B$2:$B$22,0)-1)*9+MATCH("Politics",Parsed!$C$2:$C$10,0)),0)+IF(INDEX(Parsed!$K$2:$K$190,(MATCH(B63,Data!$B$2:$B$22,0)-1)*9+MATCH("Marriage",Parsed!$C$2:$C$10,0))=INDEX(Parsed!$H$2:$H$190,(MATCH(A63,Data!$B$2:$B$22,0)-1)*9+MATCH("Marriage",Parsed!$C$2:$C$10,0)),INDEX(Parsed!$M$2:$M$190,(MATCH(B63,Data!$B$2:$B$22,0)-1)*9+MATCH("Marriage",Parsed!$C$2:$C$10,0))*INDEX(Parsed!$I$2:$I$190,(MATCH(A63,Data!$B$2:$B$22,0)-1)*9+MATCH("Marriage",Parsed!$C$2:$C$10,0)),0)+IF(INDEX(Parsed!$K$2:$K$190,(MATCH(B63,Data!$B$2:$B$22,0)-1)*9+MATCH("Children",Parsed!$C$2:$C$10,0))=INDEX(Parsed!$H$2:$H$190,(MATCH(A63,Data!$B$2:$B$22,0)-1)*9+MATCH("Children",Parsed!$C$2:$C$10,0)),INDEX(Parsed!$M$2:$M$190,(MATCH(B63,Data!$B$2:$B$22,0)-1)*9+MATCH("Children",Parsed!$C$2:$C$10,0))*INDEX(Parsed!$I$2:$I$190,(MATCH(A63,Data!$B$2:$B$22,0)-1)*9+MATCH("Children",Parsed!$C$2:$C$10,0)),0)+IF(INDEX(Parsed!$K$2:$K$190,(MATCH(B63,Data!$B$2:$B$22,0)-1)*9+MATCH("Ethicity",Parsed!$C$2:$C$10,0))=INDEX(Parsed!$H$2:$H$190,(MATCH(A63,Data!$B$2:$B$22,0)-1)*9+MATCH("Ethicity",Parsed!$C$2:$C$10,0)),INDEX(Parsed!$M$2:$M$190,(MATCH(B63,Data!$B$2:$B$22,0)-1)*9+MATCH("Ethicity",Parsed!$C$2:$C$10,0))*INDEX(Parsed!$I$2:$I$190,(MATCH(A63,Data!$B$2:$B$22,0)-1)*9+MATCH("Ethicity",Parsed!$C$2:$C$10,0)),0)+IF(INDEX(Parsed!$K$2:$K$190,(MATCH(B63,Data!$B$2:$B$22,0)-1)*9+MATCH("Past",Parsed!$C$2:$C$10,0))=INDEX(Parsed!$H$2:$H$190,(MATCH(A63,Data!$B$2:$B$22,0)-1)*9+MATCH("Past",Parsed!$C$2:$C$10,0)),INDEX(Parsed!$M$2:$M$190,(MATCH(B63,Data!$B$2:$B$22,0)-1)*9+MATCH("Past",Parsed!$C$2:$C$10,0))*INDEX(Parsed!$I$2:$I$190,(MATCH(A63,Data!$B$2:$B$22,0)-1)*9+MATCH("Past",Parsed!$C$2:$C$10,0)),0)+IF(INDEX(Parsed!$K$2:$K$190,(MATCH(B63,Data!$B$2:$B$22,0)-1)*9+MATCH("D/S",Parsed!$C$2:$C$10,0))=INDEX(Parsed!$H$2:$H$190,(MATCH(A63,Data!$B$2:$B$22,0)-1)*9+MATCH("D/S",Parsed!$C$2:$C$10,0)),INDEX(Parsed!$M$2:$M$190,(MATCH(B63,Data!$B$2:$B$22,0)-1)*9+MATCH("D/S",Parsed!$C$2:$C$10,0))*INDEX(Parsed!$I$2:$I$190,(MATCH(A63,Data!$B$2:$B$22,0)-1)*9+MATCH("D/S",Parsed!$C$2:$C$10,0)),0)+IF(INDEX(Parsed!$K$2:$K$190,(MATCH(B63,Data!$B$2:$B$22,0)-1)*9+MATCH("True/kind",Parsed!$C$2:$C$10,0))=INDEX(Parsed!$H$2:$H$190,(MATCH(A63,Data!$B$2:$B$22,0)-1)*9+MATCH("True/kind",Parsed!$C$2:$C$10,0)),INDEX(Parsed!$M$2:$M$190,(MATCH(B63,Data!$B$2:$B$22,0)-1)*9+MATCH("True/kind",Parsed!$C$2:$C$10,0))*INDEX(Parsed!$I$2:$I$190,(MATCH(A63,Data!$B$2:$B$22,0)-1)*9+MATCH("True/kind",Parsed!$C$2:$C$10,0)),0)+IF(INDEX(Parsed!$K$2:$K$190,(MATCH(B63,Data!$B$2:$B$22,0)-1)*9+MATCH("Animal",Parsed!$C$2:$C$10,0))=INDEX(Parsed!$H$2:$H$190,(MATCH(A63,Data!$B$2:$B$22,0)-1)*9+MATCH("Animal",Parsed!$C$2:$C$10,0)),INDEX(Parsed!$M$2:$M$190,(MATCH(B63,Data!$B$2:$B$22,0)-1)*9+MATCH("Animal",Parsed!$C$2:$C$10,0))*INDEX(Parsed!$I$2:$I$190,(MATCH(A63,Data!$B$2:$B$22,0)-1)*9+MATCH("Animal",Parsed!$C$2:$C$10,0)),0),0)</x:f>
        <x:v>87.5</x:v>
      </x:c>
      <x:c r="D63" s="11" t="n">
        <x:f>IFERROR(IF(INDEX(Parsed!$K$2:$K$190,(MATCH(A63,Data!$B$2:$B$22,0)-1)*9+MATCH("God",Parsed!$C$2:$C$10,0))=INDEX(Parsed!$H$2:$H$190,(MATCH(B63,Data!$B$2:$B$22,0)-1)*9+MATCH("God",Parsed!$C$2:$C$10,0)),INDEX(Parsed!$M$2:$M$190,(MATCH(A63,Data!$B$2:$B$22,0)-1)*9+MATCH("God",Parsed!$C$2:$C$10,0))*INDEX(Parsed!$I$2:$I$190,(MATCH(B63,Data!$B$2:$B$22,0)-1)*9+MATCH("God",Parsed!$C$2:$C$10,0)),0)+IF(INDEX(Parsed!$K$2:$K$190,(MATCH(A63,Data!$B$2:$B$22,0)-1)*9+MATCH("Politics",Parsed!$C$2:$C$10,0))=INDEX(Parsed!$H$2:$H$190,(MATCH(B63,Data!$B$2:$B$22,0)-1)*9+MATCH("Politics",Parsed!$C$2:$C$10,0)),INDEX(Parsed!$M$2:$M$190,(MATCH(A63,Data!$B$2:$B$22,0)-1)*9+MATCH("Politics",Parsed!$C$2:$C$10,0))*INDEX(Parsed!$I$2:$I$190,(MATCH(B63,Data!$B$2:$B$22,0)-1)*9+MATCH("Politics",Parsed!$C$2:$C$10,0)),0)+IF(INDEX(Parsed!$K$2:$K$190,(MATCH(A63,Data!$B$2:$B$22,0)-1)*9+MATCH("Marriage",Parsed!$C$2:$C$10,0))=INDEX(Parsed!$H$2:$H$190,(MATCH(B63,Data!$B$2:$B$22,0)-1)*9+MATCH("Marriage",Parsed!$C$2:$C$10,0)),INDEX(Parsed!$M$2:$M$190,(MATCH(A63,Data!$B$2:$B$22,0)-1)*9+MATCH("Marriage",Parsed!$C$2:$C$10,0))*INDEX(Parsed!$I$2:$I$190,(MATCH(B63,Data!$B$2:$B$22,0)-1)*9+MATCH("Marriage",Parsed!$C$2:$C$10,0)),0)+IF(INDEX(Parsed!$K$2:$K$190,(MATCH(A63,Data!$B$2:$B$22,0)-1)*9+MATCH("Children",Parsed!$C$2:$C$10,0))=INDEX(Parsed!$H$2:$H$190,(MATCH(B63,Data!$B$2:$B$22,0)-1)*9+MATCH("Children",Parsed!$C$2:$C$10,0)),INDEX(Parsed!$M$2:$M$190,(MATCH(A63,Data!$B$2:$B$22,0)-1)*9+MATCH("Children",Parsed!$C$2:$C$10,0))*INDEX(Parsed!$I$2:$I$190,(MATCH(B63,Data!$B$2:$B$22,0)-1)*9+MATCH("Children",Parsed!$C$2:$C$10,0)),0)+IF(INDEX(Parsed!$K$2:$K$190,(MATCH(A63,Data!$B$2:$B$22,0)-1)*9+MATCH("Ethicity",Parsed!$C$2:$C$10,0))=INDEX(Parsed!$H$2:$H$190,(MATCH(B63,Data!$B$2:$B$22,0)-1)*9+MATCH("Ethicity",Parsed!$C$2:$C$10,0)),INDEX(Parsed!$M$2:$M$190,(MATCH(A63,Data!$B$2:$B$22,0)-1)*9+MATCH("Ethicity",Parsed!$C$2:$C$10,0))*INDEX(Parsed!$I$2:$I$190,(MATCH(B63,Data!$B$2:$B$22,0)-1)*9+MATCH("Ethicity",Parsed!$C$2:$C$10,0)),0)+IF(INDEX(Parsed!$K$2:$K$190,(MATCH(A63,Data!$B$2:$B$22,0)-1)*9+MATCH("Past",Parsed!$C$2:$C$10,0))=INDEX(Parsed!$H$2:$H$190,(MATCH(B63,Data!$B$2:$B$22,0)-1)*9+MATCH("Past",Parsed!$C$2:$C$10,0)),INDEX(Parsed!$M$2:$M$190,(MATCH(A63,Data!$B$2:$B$22,0)-1)*9+MATCH("Past",Parsed!$C$2:$C$10,0))*INDEX(Parsed!$I$2:$I$190,(MATCH(B63,Data!$B$2:$B$22,0)-1)*9+MATCH("Past",Parsed!$C$2:$C$10,0)),0)+IF(INDEX(Parsed!$K$2:$K$190,(MATCH(A63,Data!$B$2:$B$22,0)-1)*9+MATCH("D/S",Parsed!$C$2:$C$10,0))=INDEX(Parsed!$H$2:$H$190,(MATCH(B63,Data!$B$2:$B$22,0)-1)*9+MATCH("D/S",Parsed!$C$2:$C$10,0)),INDEX(Parsed!$M$2:$M$190,(MATCH(A63,Data!$B$2:$B$22,0)-1)*9+MATCH("D/S",Parsed!$C$2:$C$10,0))*INDEX(Parsed!$I$2:$I$190,(MATCH(B63,Data!$B$2:$B$22,0)-1)*9+MATCH("D/S",Parsed!$C$2:$C$10,0)),0)+IF(INDEX(Parsed!$K$2:$K$190,(MATCH(A63,Data!$B$2:$B$22,0)-1)*9+MATCH("True/kind",Parsed!$C$2:$C$10,0))=INDEX(Parsed!$H$2:$H$190,(MATCH(B63,Data!$B$2:$B$22,0)-1)*9+MATCH("True/kind",Parsed!$C$2:$C$10,0)),INDEX(Parsed!$M$2:$M$190,(MATCH(A63,Data!$B$2:$B$22,0)-1)*9+MATCH("True/kind",Parsed!$C$2:$C$10,0))*INDEX(Parsed!$I$2:$I$190,(MATCH(B63,Data!$B$2:$B$22,0)-1)*9+MATCH("True/kind",Parsed!$C$2:$C$10,0)),0)+IF(INDEX(Parsed!$K$2:$K$190,(MATCH(A63,Data!$B$2:$B$22,0)-1)*9+MATCH("Animal",Parsed!$C$2:$C$10,0))=INDEX(Parsed!$H$2:$H$190,(MATCH(B63,Data!$B$2:$B$22,0)-1)*9+MATCH("Animal",Parsed!$C$2:$C$10,0)),INDEX(Parsed!$M$2:$M$190,(MATCH(A63,Data!$B$2:$B$22,0)-1)*9+MATCH("Animal",Parsed!$C$2:$C$10,0))*INDEX(Parsed!$I$2:$I$190,(MATCH(B63,Data!$B$2:$B$22,0)-1)*9+MATCH("Animal",Parsed!$C$2:$C$10,0)),0),0)</x:f>
        <x:v>77.5</x:v>
      </x:c>
      <x:c r="E63" s="11" t="n">
        <x:f>SQRT(C63*D63)</x:f>
        <x:v>82.34834546000302</x:v>
      </x:c>
    </x:row>
    <x:row r="64">
      <x:c r="A64" t="str">
        <x:v>tony</x:v>
      </x:c>
      <x:c r="B64" t="str">
        <x:v>lydia</x:v>
      </x:c>
      <x:c r="C64" s="11" t="n">
        <x:f>IFERROR(IF(INDEX(Parsed!$K$2:$K$190,(MATCH(B64,Data!$B$2:$B$22,0)-1)*9+MATCH("God",Parsed!$C$2:$C$10,0))=INDEX(Parsed!$H$2:$H$190,(MATCH(A64,Data!$B$2:$B$22,0)-1)*9+MATCH("God",Parsed!$C$2:$C$10,0)),INDEX(Parsed!$M$2:$M$190,(MATCH(B64,Data!$B$2:$B$22,0)-1)*9+MATCH("God",Parsed!$C$2:$C$10,0))*INDEX(Parsed!$I$2:$I$190,(MATCH(A64,Data!$B$2:$B$22,0)-1)*9+MATCH("God",Parsed!$C$2:$C$10,0)),0)+IF(INDEX(Parsed!$K$2:$K$190,(MATCH(B64,Data!$B$2:$B$22,0)-1)*9+MATCH("Politics",Parsed!$C$2:$C$10,0))=INDEX(Parsed!$H$2:$H$190,(MATCH(A64,Data!$B$2:$B$22,0)-1)*9+MATCH("Politics",Parsed!$C$2:$C$10,0)),INDEX(Parsed!$M$2:$M$190,(MATCH(B64,Data!$B$2:$B$22,0)-1)*9+MATCH("Politics",Parsed!$C$2:$C$10,0))*INDEX(Parsed!$I$2:$I$190,(MATCH(A64,Data!$B$2:$B$22,0)-1)*9+MATCH("Politics",Parsed!$C$2:$C$10,0)),0)+IF(INDEX(Parsed!$K$2:$K$190,(MATCH(B64,Data!$B$2:$B$22,0)-1)*9+MATCH("Marriage",Parsed!$C$2:$C$10,0))=INDEX(Parsed!$H$2:$H$190,(MATCH(A64,Data!$B$2:$B$22,0)-1)*9+MATCH("Marriage",Parsed!$C$2:$C$10,0)),INDEX(Parsed!$M$2:$M$190,(MATCH(B64,Data!$B$2:$B$22,0)-1)*9+MATCH("Marriage",Parsed!$C$2:$C$10,0))*INDEX(Parsed!$I$2:$I$190,(MATCH(A64,Data!$B$2:$B$22,0)-1)*9+MATCH("Marriage",Parsed!$C$2:$C$10,0)),0)+IF(INDEX(Parsed!$K$2:$K$190,(MATCH(B64,Data!$B$2:$B$22,0)-1)*9+MATCH("Children",Parsed!$C$2:$C$10,0))=INDEX(Parsed!$H$2:$H$190,(MATCH(A64,Data!$B$2:$B$22,0)-1)*9+MATCH("Children",Parsed!$C$2:$C$10,0)),INDEX(Parsed!$M$2:$M$190,(MATCH(B64,Data!$B$2:$B$22,0)-1)*9+MATCH("Children",Parsed!$C$2:$C$10,0))*INDEX(Parsed!$I$2:$I$190,(MATCH(A64,Data!$B$2:$B$22,0)-1)*9+MATCH("Children",Parsed!$C$2:$C$10,0)),0)+IF(INDEX(Parsed!$K$2:$K$190,(MATCH(B64,Data!$B$2:$B$22,0)-1)*9+MATCH("Ethicity",Parsed!$C$2:$C$10,0))=INDEX(Parsed!$H$2:$H$190,(MATCH(A64,Data!$B$2:$B$22,0)-1)*9+MATCH("Ethicity",Parsed!$C$2:$C$10,0)),INDEX(Parsed!$M$2:$M$190,(MATCH(B64,Data!$B$2:$B$22,0)-1)*9+MATCH("Ethicity",Parsed!$C$2:$C$10,0))*INDEX(Parsed!$I$2:$I$190,(MATCH(A64,Data!$B$2:$B$22,0)-1)*9+MATCH("Ethicity",Parsed!$C$2:$C$10,0)),0)+IF(INDEX(Parsed!$K$2:$K$190,(MATCH(B64,Data!$B$2:$B$22,0)-1)*9+MATCH("Past",Parsed!$C$2:$C$10,0))=INDEX(Parsed!$H$2:$H$190,(MATCH(A64,Data!$B$2:$B$22,0)-1)*9+MATCH("Past",Parsed!$C$2:$C$10,0)),INDEX(Parsed!$M$2:$M$190,(MATCH(B64,Data!$B$2:$B$22,0)-1)*9+MATCH("Past",Parsed!$C$2:$C$10,0))*INDEX(Parsed!$I$2:$I$190,(MATCH(A64,Data!$B$2:$B$22,0)-1)*9+MATCH("Past",Parsed!$C$2:$C$10,0)),0)+IF(INDEX(Parsed!$K$2:$K$190,(MATCH(B64,Data!$B$2:$B$22,0)-1)*9+MATCH("D/S",Parsed!$C$2:$C$10,0))=INDEX(Parsed!$H$2:$H$190,(MATCH(A64,Data!$B$2:$B$22,0)-1)*9+MATCH("D/S",Parsed!$C$2:$C$10,0)),INDEX(Parsed!$M$2:$M$190,(MATCH(B64,Data!$B$2:$B$22,0)-1)*9+MATCH("D/S",Parsed!$C$2:$C$10,0))*INDEX(Parsed!$I$2:$I$190,(MATCH(A64,Data!$B$2:$B$22,0)-1)*9+MATCH("D/S",Parsed!$C$2:$C$10,0)),0)+IF(INDEX(Parsed!$K$2:$K$190,(MATCH(B64,Data!$B$2:$B$22,0)-1)*9+MATCH("True/kind",Parsed!$C$2:$C$10,0))=INDEX(Parsed!$H$2:$H$190,(MATCH(A64,Data!$B$2:$B$22,0)-1)*9+MATCH("True/kind",Parsed!$C$2:$C$10,0)),INDEX(Parsed!$M$2:$M$190,(MATCH(B64,Data!$B$2:$B$22,0)-1)*9+MATCH("True/kind",Parsed!$C$2:$C$10,0))*INDEX(Parsed!$I$2:$I$190,(MATCH(A64,Data!$B$2:$B$22,0)-1)*9+MATCH("True/kind",Parsed!$C$2:$C$10,0)),0)+IF(INDEX(Parsed!$K$2:$K$190,(MATCH(B64,Data!$B$2:$B$22,0)-1)*9+MATCH("Animal",Parsed!$C$2:$C$10,0))=INDEX(Parsed!$H$2:$H$190,(MATCH(A64,Data!$B$2:$B$22,0)-1)*9+MATCH("Animal",Parsed!$C$2:$C$10,0)),INDEX(Parsed!$M$2:$M$190,(MATCH(B64,Data!$B$2:$B$22,0)-1)*9+MATCH("Animal",Parsed!$C$2:$C$10,0))*INDEX(Parsed!$I$2:$I$190,(MATCH(A64,Data!$B$2:$B$22,0)-1)*9+MATCH("Animal",Parsed!$C$2:$C$10,0)),0),0)</x:f>
        <x:v>35</x:v>
      </x:c>
      <x:c r="D64" s="11" t="n">
        <x:f>IFERROR(IF(INDEX(Parsed!$K$2:$K$190,(MATCH(A64,Data!$B$2:$B$22,0)-1)*9+MATCH("God",Parsed!$C$2:$C$10,0))=INDEX(Parsed!$H$2:$H$190,(MATCH(B64,Data!$B$2:$B$22,0)-1)*9+MATCH("God",Parsed!$C$2:$C$10,0)),INDEX(Parsed!$M$2:$M$190,(MATCH(A64,Data!$B$2:$B$22,0)-1)*9+MATCH("God",Parsed!$C$2:$C$10,0))*INDEX(Parsed!$I$2:$I$190,(MATCH(B64,Data!$B$2:$B$22,0)-1)*9+MATCH("God",Parsed!$C$2:$C$10,0)),0)+IF(INDEX(Parsed!$K$2:$K$190,(MATCH(A64,Data!$B$2:$B$22,0)-1)*9+MATCH("Politics",Parsed!$C$2:$C$10,0))=INDEX(Parsed!$H$2:$H$190,(MATCH(B64,Data!$B$2:$B$22,0)-1)*9+MATCH("Politics",Parsed!$C$2:$C$10,0)),INDEX(Parsed!$M$2:$M$190,(MATCH(A64,Data!$B$2:$B$22,0)-1)*9+MATCH("Politics",Parsed!$C$2:$C$10,0))*INDEX(Parsed!$I$2:$I$190,(MATCH(B64,Data!$B$2:$B$22,0)-1)*9+MATCH("Politics",Parsed!$C$2:$C$10,0)),0)+IF(INDEX(Parsed!$K$2:$K$190,(MATCH(A64,Data!$B$2:$B$22,0)-1)*9+MATCH("Marriage",Parsed!$C$2:$C$10,0))=INDEX(Parsed!$H$2:$H$190,(MATCH(B64,Data!$B$2:$B$22,0)-1)*9+MATCH("Marriage",Parsed!$C$2:$C$10,0)),INDEX(Parsed!$M$2:$M$190,(MATCH(A64,Data!$B$2:$B$22,0)-1)*9+MATCH("Marriage",Parsed!$C$2:$C$10,0))*INDEX(Parsed!$I$2:$I$190,(MATCH(B64,Data!$B$2:$B$22,0)-1)*9+MATCH("Marriage",Parsed!$C$2:$C$10,0)),0)+IF(INDEX(Parsed!$K$2:$K$190,(MATCH(A64,Data!$B$2:$B$22,0)-1)*9+MATCH("Children",Parsed!$C$2:$C$10,0))=INDEX(Parsed!$H$2:$H$190,(MATCH(B64,Data!$B$2:$B$22,0)-1)*9+MATCH("Children",Parsed!$C$2:$C$10,0)),INDEX(Parsed!$M$2:$M$190,(MATCH(A64,Data!$B$2:$B$22,0)-1)*9+MATCH("Children",Parsed!$C$2:$C$10,0))*INDEX(Parsed!$I$2:$I$190,(MATCH(B64,Data!$B$2:$B$22,0)-1)*9+MATCH("Children",Parsed!$C$2:$C$10,0)),0)+IF(INDEX(Parsed!$K$2:$K$190,(MATCH(A64,Data!$B$2:$B$22,0)-1)*9+MATCH("Ethicity",Parsed!$C$2:$C$10,0))=INDEX(Parsed!$H$2:$H$190,(MATCH(B64,Data!$B$2:$B$22,0)-1)*9+MATCH("Ethicity",Parsed!$C$2:$C$10,0)),INDEX(Parsed!$M$2:$M$190,(MATCH(A64,Data!$B$2:$B$22,0)-1)*9+MATCH("Ethicity",Parsed!$C$2:$C$10,0))*INDEX(Parsed!$I$2:$I$190,(MATCH(B64,Data!$B$2:$B$22,0)-1)*9+MATCH("Ethicity",Parsed!$C$2:$C$10,0)),0)+IF(INDEX(Parsed!$K$2:$K$190,(MATCH(A64,Data!$B$2:$B$22,0)-1)*9+MATCH("Past",Parsed!$C$2:$C$10,0))=INDEX(Parsed!$H$2:$H$190,(MATCH(B64,Data!$B$2:$B$22,0)-1)*9+MATCH("Past",Parsed!$C$2:$C$10,0)),INDEX(Parsed!$M$2:$M$190,(MATCH(A64,Data!$B$2:$B$22,0)-1)*9+MATCH("Past",Parsed!$C$2:$C$10,0))*INDEX(Parsed!$I$2:$I$190,(MATCH(B64,Data!$B$2:$B$22,0)-1)*9+MATCH("Past",Parsed!$C$2:$C$10,0)),0)+IF(INDEX(Parsed!$K$2:$K$190,(MATCH(A64,Data!$B$2:$B$22,0)-1)*9+MATCH("D/S",Parsed!$C$2:$C$10,0))=INDEX(Parsed!$H$2:$H$190,(MATCH(B64,Data!$B$2:$B$22,0)-1)*9+MATCH("D/S",Parsed!$C$2:$C$10,0)),INDEX(Parsed!$M$2:$M$190,(MATCH(A64,Data!$B$2:$B$22,0)-1)*9+MATCH("D/S",Parsed!$C$2:$C$10,0))*INDEX(Parsed!$I$2:$I$190,(MATCH(B64,Data!$B$2:$B$22,0)-1)*9+MATCH("D/S",Parsed!$C$2:$C$10,0)),0)+IF(INDEX(Parsed!$K$2:$K$190,(MATCH(A64,Data!$B$2:$B$22,0)-1)*9+MATCH("True/kind",Parsed!$C$2:$C$10,0))=INDEX(Parsed!$H$2:$H$190,(MATCH(B64,Data!$B$2:$B$22,0)-1)*9+MATCH("True/kind",Parsed!$C$2:$C$10,0)),INDEX(Parsed!$M$2:$M$190,(MATCH(A64,Data!$B$2:$B$22,0)-1)*9+MATCH("True/kind",Parsed!$C$2:$C$10,0))*INDEX(Parsed!$I$2:$I$190,(MATCH(B64,Data!$B$2:$B$22,0)-1)*9+MATCH("True/kind",Parsed!$C$2:$C$10,0)),0)+IF(INDEX(Parsed!$K$2:$K$190,(MATCH(A64,Data!$B$2:$B$22,0)-1)*9+MATCH("Animal",Parsed!$C$2:$C$10,0))=INDEX(Parsed!$H$2:$H$190,(MATCH(B64,Data!$B$2:$B$22,0)-1)*9+MATCH("Animal",Parsed!$C$2:$C$10,0)),INDEX(Parsed!$M$2:$M$190,(MATCH(A64,Data!$B$2:$B$22,0)-1)*9+MATCH("Animal",Parsed!$C$2:$C$10,0))*INDEX(Parsed!$I$2:$I$190,(MATCH(B64,Data!$B$2:$B$22,0)-1)*9+MATCH("Animal",Parsed!$C$2:$C$10,0)),0),0)</x:f>
        <x:v>51.25</x:v>
      </x:c>
      <x:c r="E64" s="11" t="n">
        <x:f>SQRT(C64*D64)</x:f>
        <x:v>42.352685865243544</x:v>
      </x:c>
    </x:row>
    <x:row r="65">
      <x:c r="A65" t="str">
        <x:v>will</x:v>
      </x:c>
      <x:c r="B65" t="str">
        <x:v>jasmine</x:v>
      </x:c>
      <x:c r="C65" s="11" t="n">
        <x:f>IFERROR(IF(INDEX(Parsed!$K$2:$K$190,(MATCH(B65,Data!$B$2:$B$22,0)-1)*9+MATCH("God",Parsed!$C$2:$C$10,0))=INDEX(Parsed!$H$2:$H$190,(MATCH(A65,Data!$B$2:$B$22,0)-1)*9+MATCH("God",Parsed!$C$2:$C$10,0)),INDEX(Parsed!$M$2:$M$190,(MATCH(B65,Data!$B$2:$B$22,0)-1)*9+MATCH("God",Parsed!$C$2:$C$10,0))*INDEX(Parsed!$I$2:$I$190,(MATCH(A65,Data!$B$2:$B$22,0)-1)*9+MATCH("God",Parsed!$C$2:$C$10,0)),0)+IF(INDEX(Parsed!$K$2:$K$190,(MATCH(B65,Data!$B$2:$B$22,0)-1)*9+MATCH("Politics",Parsed!$C$2:$C$10,0))=INDEX(Parsed!$H$2:$H$190,(MATCH(A65,Data!$B$2:$B$22,0)-1)*9+MATCH("Politics",Parsed!$C$2:$C$10,0)),INDEX(Parsed!$M$2:$M$190,(MATCH(B65,Data!$B$2:$B$22,0)-1)*9+MATCH("Politics",Parsed!$C$2:$C$10,0))*INDEX(Parsed!$I$2:$I$190,(MATCH(A65,Data!$B$2:$B$22,0)-1)*9+MATCH("Politics",Parsed!$C$2:$C$10,0)),0)+IF(INDEX(Parsed!$K$2:$K$190,(MATCH(B65,Data!$B$2:$B$22,0)-1)*9+MATCH("Marriage",Parsed!$C$2:$C$10,0))=INDEX(Parsed!$H$2:$H$190,(MATCH(A65,Data!$B$2:$B$22,0)-1)*9+MATCH("Marriage",Parsed!$C$2:$C$10,0)),INDEX(Parsed!$M$2:$M$190,(MATCH(B65,Data!$B$2:$B$22,0)-1)*9+MATCH("Marriage",Parsed!$C$2:$C$10,0))*INDEX(Parsed!$I$2:$I$190,(MATCH(A65,Data!$B$2:$B$22,0)-1)*9+MATCH("Marriage",Parsed!$C$2:$C$10,0)),0)+IF(INDEX(Parsed!$K$2:$K$190,(MATCH(B65,Data!$B$2:$B$22,0)-1)*9+MATCH("Children",Parsed!$C$2:$C$10,0))=INDEX(Parsed!$H$2:$H$190,(MATCH(A65,Data!$B$2:$B$22,0)-1)*9+MATCH("Children",Parsed!$C$2:$C$10,0)),INDEX(Parsed!$M$2:$M$190,(MATCH(B65,Data!$B$2:$B$22,0)-1)*9+MATCH("Children",Parsed!$C$2:$C$10,0))*INDEX(Parsed!$I$2:$I$190,(MATCH(A65,Data!$B$2:$B$22,0)-1)*9+MATCH("Children",Parsed!$C$2:$C$10,0)),0)+IF(INDEX(Parsed!$K$2:$K$190,(MATCH(B65,Data!$B$2:$B$22,0)-1)*9+MATCH("Ethicity",Parsed!$C$2:$C$10,0))=INDEX(Parsed!$H$2:$H$190,(MATCH(A65,Data!$B$2:$B$22,0)-1)*9+MATCH("Ethicity",Parsed!$C$2:$C$10,0)),INDEX(Parsed!$M$2:$M$190,(MATCH(B65,Data!$B$2:$B$22,0)-1)*9+MATCH("Ethicity",Parsed!$C$2:$C$10,0))*INDEX(Parsed!$I$2:$I$190,(MATCH(A65,Data!$B$2:$B$22,0)-1)*9+MATCH("Ethicity",Parsed!$C$2:$C$10,0)),0)+IF(INDEX(Parsed!$K$2:$K$190,(MATCH(B65,Data!$B$2:$B$22,0)-1)*9+MATCH("Past",Parsed!$C$2:$C$10,0))=INDEX(Parsed!$H$2:$H$190,(MATCH(A65,Data!$B$2:$B$22,0)-1)*9+MATCH("Past",Parsed!$C$2:$C$10,0)),INDEX(Parsed!$M$2:$M$190,(MATCH(B65,Data!$B$2:$B$22,0)-1)*9+MATCH("Past",Parsed!$C$2:$C$10,0))*INDEX(Parsed!$I$2:$I$190,(MATCH(A65,Data!$B$2:$B$22,0)-1)*9+MATCH("Past",Parsed!$C$2:$C$10,0)),0)+IF(INDEX(Parsed!$K$2:$K$190,(MATCH(B65,Data!$B$2:$B$22,0)-1)*9+MATCH("D/S",Parsed!$C$2:$C$10,0))=INDEX(Parsed!$H$2:$H$190,(MATCH(A65,Data!$B$2:$B$22,0)-1)*9+MATCH("D/S",Parsed!$C$2:$C$10,0)),INDEX(Parsed!$M$2:$M$190,(MATCH(B65,Data!$B$2:$B$22,0)-1)*9+MATCH("D/S",Parsed!$C$2:$C$10,0))*INDEX(Parsed!$I$2:$I$190,(MATCH(A65,Data!$B$2:$B$22,0)-1)*9+MATCH("D/S",Parsed!$C$2:$C$10,0)),0)+IF(INDEX(Parsed!$K$2:$K$190,(MATCH(B65,Data!$B$2:$B$22,0)-1)*9+MATCH("True/kind",Parsed!$C$2:$C$10,0))=INDEX(Parsed!$H$2:$H$190,(MATCH(A65,Data!$B$2:$B$22,0)-1)*9+MATCH("True/kind",Parsed!$C$2:$C$10,0)),INDEX(Parsed!$M$2:$M$190,(MATCH(B65,Data!$B$2:$B$22,0)-1)*9+MATCH("True/kind",Parsed!$C$2:$C$10,0))*INDEX(Parsed!$I$2:$I$190,(MATCH(A65,Data!$B$2:$B$22,0)-1)*9+MATCH("True/kind",Parsed!$C$2:$C$10,0)),0)+IF(INDEX(Parsed!$K$2:$K$190,(MATCH(B65,Data!$B$2:$B$22,0)-1)*9+MATCH("Animal",Parsed!$C$2:$C$10,0))=INDEX(Parsed!$H$2:$H$190,(MATCH(A65,Data!$B$2:$B$22,0)-1)*9+MATCH("Animal",Parsed!$C$2:$C$10,0)),INDEX(Parsed!$M$2:$M$190,(MATCH(B65,Data!$B$2:$B$22,0)-1)*9+MATCH("Animal",Parsed!$C$2:$C$10,0))*INDEX(Parsed!$I$2:$I$190,(MATCH(A65,Data!$B$2:$B$22,0)-1)*9+MATCH("Animal",Parsed!$C$2:$C$10,0)),0),0)</x:f>
        <x:v>28.75</x:v>
      </x:c>
      <x:c r="D65" s="11" t="n">
        <x:f>IFERROR(IF(INDEX(Parsed!$K$2:$K$190,(MATCH(A65,Data!$B$2:$B$22,0)-1)*9+MATCH("God",Parsed!$C$2:$C$10,0))=INDEX(Parsed!$H$2:$H$190,(MATCH(B65,Data!$B$2:$B$22,0)-1)*9+MATCH("God",Parsed!$C$2:$C$10,0)),INDEX(Parsed!$M$2:$M$190,(MATCH(A65,Data!$B$2:$B$22,0)-1)*9+MATCH("God",Parsed!$C$2:$C$10,0))*INDEX(Parsed!$I$2:$I$190,(MATCH(B65,Data!$B$2:$B$22,0)-1)*9+MATCH("God",Parsed!$C$2:$C$10,0)),0)+IF(INDEX(Parsed!$K$2:$K$190,(MATCH(A65,Data!$B$2:$B$22,0)-1)*9+MATCH("Politics",Parsed!$C$2:$C$10,0))=INDEX(Parsed!$H$2:$H$190,(MATCH(B65,Data!$B$2:$B$22,0)-1)*9+MATCH("Politics",Parsed!$C$2:$C$10,0)),INDEX(Parsed!$M$2:$M$190,(MATCH(A65,Data!$B$2:$B$22,0)-1)*9+MATCH("Politics",Parsed!$C$2:$C$10,0))*INDEX(Parsed!$I$2:$I$190,(MATCH(B65,Data!$B$2:$B$22,0)-1)*9+MATCH("Politics",Parsed!$C$2:$C$10,0)),0)+IF(INDEX(Parsed!$K$2:$K$190,(MATCH(A65,Data!$B$2:$B$22,0)-1)*9+MATCH("Marriage",Parsed!$C$2:$C$10,0))=INDEX(Parsed!$H$2:$H$190,(MATCH(B65,Data!$B$2:$B$22,0)-1)*9+MATCH("Marriage",Parsed!$C$2:$C$10,0)),INDEX(Parsed!$M$2:$M$190,(MATCH(A65,Data!$B$2:$B$22,0)-1)*9+MATCH("Marriage",Parsed!$C$2:$C$10,0))*INDEX(Parsed!$I$2:$I$190,(MATCH(B65,Data!$B$2:$B$22,0)-1)*9+MATCH("Marriage",Parsed!$C$2:$C$10,0)),0)+IF(INDEX(Parsed!$K$2:$K$190,(MATCH(A65,Data!$B$2:$B$22,0)-1)*9+MATCH("Children",Parsed!$C$2:$C$10,0))=INDEX(Parsed!$H$2:$H$190,(MATCH(B65,Data!$B$2:$B$22,0)-1)*9+MATCH("Children",Parsed!$C$2:$C$10,0)),INDEX(Parsed!$M$2:$M$190,(MATCH(A65,Data!$B$2:$B$22,0)-1)*9+MATCH("Children",Parsed!$C$2:$C$10,0))*INDEX(Parsed!$I$2:$I$190,(MATCH(B65,Data!$B$2:$B$22,0)-1)*9+MATCH("Children",Parsed!$C$2:$C$10,0)),0)+IF(INDEX(Parsed!$K$2:$K$190,(MATCH(A65,Data!$B$2:$B$22,0)-1)*9+MATCH("Ethicity",Parsed!$C$2:$C$10,0))=INDEX(Parsed!$H$2:$H$190,(MATCH(B65,Data!$B$2:$B$22,0)-1)*9+MATCH("Ethicity",Parsed!$C$2:$C$10,0)),INDEX(Parsed!$M$2:$M$190,(MATCH(A65,Data!$B$2:$B$22,0)-1)*9+MATCH("Ethicity",Parsed!$C$2:$C$10,0))*INDEX(Parsed!$I$2:$I$190,(MATCH(B65,Data!$B$2:$B$22,0)-1)*9+MATCH("Ethicity",Parsed!$C$2:$C$10,0)),0)+IF(INDEX(Parsed!$K$2:$K$190,(MATCH(A65,Data!$B$2:$B$22,0)-1)*9+MATCH("Past",Parsed!$C$2:$C$10,0))=INDEX(Parsed!$H$2:$H$190,(MATCH(B65,Data!$B$2:$B$22,0)-1)*9+MATCH("Past",Parsed!$C$2:$C$10,0)),INDEX(Parsed!$M$2:$M$190,(MATCH(A65,Data!$B$2:$B$22,0)-1)*9+MATCH("Past",Parsed!$C$2:$C$10,0))*INDEX(Parsed!$I$2:$I$190,(MATCH(B65,Data!$B$2:$B$22,0)-1)*9+MATCH("Past",Parsed!$C$2:$C$10,0)),0)+IF(INDEX(Parsed!$K$2:$K$190,(MATCH(A65,Data!$B$2:$B$22,0)-1)*9+MATCH("D/S",Parsed!$C$2:$C$10,0))=INDEX(Parsed!$H$2:$H$190,(MATCH(B65,Data!$B$2:$B$22,0)-1)*9+MATCH("D/S",Parsed!$C$2:$C$10,0)),INDEX(Parsed!$M$2:$M$190,(MATCH(A65,Data!$B$2:$B$22,0)-1)*9+MATCH("D/S",Parsed!$C$2:$C$10,0))*INDEX(Parsed!$I$2:$I$190,(MATCH(B65,Data!$B$2:$B$22,0)-1)*9+MATCH("D/S",Parsed!$C$2:$C$10,0)),0)+IF(INDEX(Parsed!$K$2:$K$190,(MATCH(A65,Data!$B$2:$B$22,0)-1)*9+MATCH("True/kind",Parsed!$C$2:$C$10,0))=INDEX(Parsed!$H$2:$H$190,(MATCH(B65,Data!$B$2:$B$22,0)-1)*9+MATCH("True/kind",Parsed!$C$2:$C$10,0)),INDEX(Parsed!$M$2:$M$190,(MATCH(A65,Data!$B$2:$B$22,0)-1)*9+MATCH("True/kind",Parsed!$C$2:$C$10,0))*INDEX(Parsed!$I$2:$I$190,(MATCH(B65,Data!$B$2:$B$22,0)-1)*9+MATCH("True/kind",Parsed!$C$2:$C$10,0)),0)+IF(INDEX(Parsed!$K$2:$K$190,(MATCH(A65,Data!$B$2:$B$22,0)-1)*9+MATCH("Animal",Parsed!$C$2:$C$10,0))=INDEX(Parsed!$H$2:$H$190,(MATCH(B65,Data!$B$2:$B$22,0)-1)*9+MATCH("Animal",Parsed!$C$2:$C$10,0)),INDEX(Parsed!$M$2:$M$190,(MATCH(A65,Data!$B$2:$B$22,0)-1)*9+MATCH("Animal",Parsed!$C$2:$C$10,0))*INDEX(Parsed!$I$2:$I$190,(MATCH(B65,Data!$B$2:$B$22,0)-1)*9+MATCH("Animal",Parsed!$C$2:$C$10,0)),0),0)</x:f>
        <x:v>43.75</x:v>
      </x:c>
      <x:c r="E65" s="11" t="n">
        <x:f>SQRT(C65*D65)</x:f>
        <x:v>35.46565239777777</x:v>
      </x:c>
    </x:row>
    <x:row r="66">
      <x:c r="A66" t="str">
        <x:v>will</x:v>
      </x:c>
      <x:c r="B66" t="str">
        <x:v>cathleen</x:v>
      </x:c>
      <x:c r="C66" s="11" t="n">
        <x:f>IFERROR(IF(INDEX(Parsed!$K$2:$K$190,(MATCH(B66,Data!$B$2:$B$22,0)-1)*9+MATCH("God",Parsed!$C$2:$C$10,0))=INDEX(Parsed!$H$2:$H$190,(MATCH(A66,Data!$B$2:$B$22,0)-1)*9+MATCH("God",Parsed!$C$2:$C$10,0)),INDEX(Parsed!$M$2:$M$190,(MATCH(B66,Data!$B$2:$B$22,0)-1)*9+MATCH("God",Parsed!$C$2:$C$10,0))*INDEX(Parsed!$I$2:$I$190,(MATCH(A66,Data!$B$2:$B$22,0)-1)*9+MATCH("God",Parsed!$C$2:$C$10,0)),0)+IF(INDEX(Parsed!$K$2:$K$190,(MATCH(B66,Data!$B$2:$B$22,0)-1)*9+MATCH("Politics",Parsed!$C$2:$C$10,0))=INDEX(Parsed!$H$2:$H$190,(MATCH(A66,Data!$B$2:$B$22,0)-1)*9+MATCH("Politics",Parsed!$C$2:$C$10,0)),INDEX(Parsed!$M$2:$M$190,(MATCH(B66,Data!$B$2:$B$22,0)-1)*9+MATCH("Politics",Parsed!$C$2:$C$10,0))*INDEX(Parsed!$I$2:$I$190,(MATCH(A66,Data!$B$2:$B$22,0)-1)*9+MATCH("Politics",Parsed!$C$2:$C$10,0)),0)+IF(INDEX(Parsed!$K$2:$K$190,(MATCH(B66,Data!$B$2:$B$22,0)-1)*9+MATCH("Marriage",Parsed!$C$2:$C$10,0))=INDEX(Parsed!$H$2:$H$190,(MATCH(A66,Data!$B$2:$B$22,0)-1)*9+MATCH("Marriage",Parsed!$C$2:$C$10,0)),INDEX(Parsed!$M$2:$M$190,(MATCH(B66,Data!$B$2:$B$22,0)-1)*9+MATCH("Marriage",Parsed!$C$2:$C$10,0))*INDEX(Parsed!$I$2:$I$190,(MATCH(A66,Data!$B$2:$B$22,0)-1)*9+MATCH("Marriage",Parsed!$C$2:$C$10,0)),0)+IF(INDEX(Parsed!$K$2:$K$190,(MATCH(B66,Data!$B$2:$B$22,0)-1)*9+MATCH("Children",Parsed!$C$2:$C$10,0))=INDEX(Parsed!$H$2:$H$190,(MATCH(A66,Data!$B$2:$B$22,0)-1)*9+MATCH("Children",Parsed!$C$2:$C$10,0)),INDEX(Parsed!$M$2:$M$190,(MATCH(B66,Data!$B$2:$B$22,0)-1)*9+MATCH("Children",Parsed!$C$2:$C$10,0))*INDEX(Parsed!$I$2:$I$190,(MATCH(A66,Data!$B$2:$B$22,0)-1)*9+MATCH("Children",Parsed!$C$2:$C$10,0)),0)+IF(INDEX(Parsed!$K$2:$K$190,(MATCH(B66,Data!$B$2:$B$22,0)-1)*9+MATCH("Ethicity",Parsed!$C$2:$C$10,0))=INDEX(Parsed!$H$2:$H$190,(MATCH(A66,Data!$B$2:$B$22,0)-1)*9+MATCH("Ethicity",Parsed!$C$2:$C$10,0)),INDEX(Parsed!$M$2:$M$190,(MATCH(B66,Data!$B$2:$B$22,0)-1)*9+MATCH("Ethicity",Parsed!$C$2:$C$10,0))*INDEX(Parsed!$I$2:$I$190,(MATCH(A66,Data!$B$2:$B$22,0)-1)*9+MATCH("Ethicity",Parsed!$C$2:$C$10,0)),0)+IF(INDEX(Parsed!$K$2:$K$190,(MATCH(B66,Data!$B$2:$B$22,0)-1)*9+MATCH("Past",Parsed!$C$2:$C$10,0))=INDEX(Parsed!$H$2:$H$190,(MATCH(A66,Data!$B$2:$B$22,0)-1)*9+MATCH("Past",Parsed!$C$2:$C$10,0)),INDEX(Parsed!$M$2:$M$190,(MATCH(B66,Data!$B$2:$B$22,0)-1)*9+MATCH("Past",Parsed!$C$2:$C$10,0))*INDEX(Parsed!$I$2:$I$190,(MATCH(A66,Data!$B$2:$B$22,0)-1)*9+MATCH("Past",Parsed!$C$2:$C$10,0)),0)+IF(INDEX(Parsed!$K$2:$K$190,(MATCH(B66,Data!$B$2:$B$22,0)-1)*9+MATCH("D/S",Parsed!$C$2:$C$10,0))=INDEX(Parsed!$H$2:$H$190,(MATCH(A66,Data!$B$2:$B$22,0)-1)*9+MATCH("D/S",Parsed!$C$2:$C$10,0)),INDEX(Parsed!$M$2:$M$190,(MATCH(B66,Data!$B$2:$B$22,0)-1)*9+MATCH("D/S",Parsed!$C$2:$C$10,0))*INDEX(Parsed!$I$2:$I$190,(MATCH(A66,Data!$B$2:$B$22,0)-1)*9+MATCH("D/S",Parsed!$C$2:$C$10,0)),0)+IF(INDEX(Parsed!$K$2:$K$190,(MATCH(B66,Data!$B$2:$B$22,0)-1)*9+MATCH("True/kind",Parsed!$C$2:$C$10,0))=INDEX(Parsed!$H$2:$H$190,(MATCH(A66,Data!$B$2:$B$22,0)-1)*9+MATCH("True/kind",Parsed!$C$2:$C$10,0)),INDEX(Parsed!$M$2:$M$190,(MATCH(B66,Data!$B$2:$B$22,0)-1)*9+MATCH("True/kind",Parsed!$C$2:$C$10,0))*INDEX(Parsed!$I$2:$I$190,(MATCH(A66,Data!$B$2:$B$22,0)-1)*9+MATCH("True/kind",Parsed!$C$2:$C$10,0)),0)+IF(INDEX(Parsed!$K$2:$K$190,(MATCH(B66,Data!$B$2:$B$22,0)-1)*9+MATCH("Animal",Parsed!$C$2:$C$10,0))=INDEX(Parsed!$H$2:$H$190,(MATCH(A66,Data!$B$2:$B$22,0)-1)*9+MATCH("Animal",Parsed!$C$2:$C$10,0)),INDEX(Parsed!$M$2:$M$190,(MATCH(B66,Data!$B$2:$B$22,0)-1)*9+MATCH("Animal",Parsed!$C$2:$C$10,0))*INDEX(Parsed!$I$2:$I$190,(MATCH(A66,Data!$B$2:$B$22,0)-1)*9+MATCH("Animal",Parsed!$C$2:$C$10,0)),0),0)</x:f>
        <x:v>63.75</x:v>
      </x:c>
      <x:c r="D66" s="11" t="n">
        <x:f>IFERROR(IF(INDEX(Parsed!$K$2:$K$190,(MATCH(A66,Data!$B$2:$B$22,0)-1)*9+MATCH("God",Parsed!$C$2:$C$10,0))=INDEX(Parsed!$H$2:$H$190,(MATCH(B66,Data!$B$2:$B$22,0)-1)*9+MATCH("God",Parsed!$C$2:$C$10,0)),INDEX(Parsed!$M$2:$M$190,(MATCH(A66,Data!$B$2:$B$22,0)-1)*9+MATCH("God",Parsed!$C$2:$C$10,0))*INDEX(Parsed!$I$2:$I$190,(MATCH(B66,Data!$B$2:$B$22,0)-1)*9+MATCH("God",Parsed!$C$2:$C$10,0)),0)+IF(INDEX(Parsed!$K$2:$K$190,(MATCH(A66,Data!$B$2:$B$22,0)-1)*9+MATCH("Politics",Parsed!$C$2:$C$10,0))=INDEX(Parsed!$H$2:$H$190,(MATCH(B66,Data!$B$2:$B$22,0)-1)*9+MATCH("Politics",Parsed!$C$2:$C$10,0)),INDEX(Parsed!$M$2:$M$190,(MATCH(A66,Data!$B$2:$B$22,0)-1)*9+MATCH("Politics",Parsed!$C$2:$C$10,0))*INDEX(Parsed!$I$2:$I$190,(MATCH(B66,Data!$B$2:$B$22,0)-1)*9+MATCH("Politics",Parsed!$C$2:$C$10,0)),0)+IF(INDEX(Parsed!$K$2:$K$190,(MATCH(A66,Data!$B$2:$B$22,0)-1)*9+MATCH("Marriage",Parsed!$C$2:$C$10,0))=INDEX(Parsed!$H$2:$H$190,(MATCH(B66,Data!$B$2:$B$22,0)-1)*9+MATCH("Marriage",Parsed!$C$2:$C$10,0)),INDEX(Parsed!$M$2:$M$190,(MATCH(A66,Data!$B$2:$B$22,0)-1)*9+MATCH("Marriage",Parsed!$C$2:$C$10,0))*INDEX(Parsed!$I$2:$I$190,(MATCH(B66,Data!$B$2:$B$22,0)-1)*9+MATCH("Marriage",Parsed!$C$2:$C$10,0)),0)+IF(INDEX(Parsed!$K$2:$K$190,(MATCH(A66,Data!$B$2:$B$22,0)-1)*9+MATCH("Children",Parsed!$C$2:$C$10,0))=INDEX(Parsed!$H$2:$H$190,(MATCH(B66,Data!$B$2:$B$22,0)-1)*9+MATCH("Children",Parsed!$C$2:$C$10,0)),INDEX(Parsed!$M$2:$M$190,(MATCH(A66,Data!$B$2:$B$22,0)-1)*9+MATCH("Children",Parsed!$C$2:$C$10,0))*INDEX(Parsed!$I$2:$I$190,(MATCH(B66,Data!$B$2:$B$22,0)-1)*9+MATCH("Children",Parsed!$C$2:$C$10,0)),0)+IF(INDEX(Parsed!$K$2:$K$190,(MATCH(A66,Data!$B$2:$B$22,0)-1)*9+MATCH("Ethicity",Parsed!$C$2:$C$10,0))=INDEX(Parsed!$H$2:$H$190,(MATCH(B66,Data!$B$2:$B$22,0)-1)*9+MATCH("Ethicity",Parsed!$C$2:$C$10,0)),INDEX(Parsed!$M$2:$M$190,(MATCH(A66,Data!$B$2:$B$22,0)-1)*9+MATCH("Ethicity",Parsed!$C$2:$C$10,0))*INDEX(Parsed!$I$2:$I$190,(MATCH(B66,Data!$B$2:$B$22,0)-1)*9+MATCH("Ethicity",Parsed!$C$2:$C$10,0)),0)+IF(INDEX(Parsed!$K$2:$K$190,(MATCH(A66,Data!$B$2:$B$22,0)-1)*9+MATCH("Past",Parsed!$C$2:$C$10,0))=INDEX(Parsed!$H$2:$H$190,(MATCH(B66,Data!$B$2:$B$22,0)-1)*9+MATCH("Past",Parsed!$C$2:$C$10,0)),INDEX(Parsed!$M$2:$M$190,(MATCH(A66,Data!$B$2:$B$22,0)-1)*9+MATCH("Past",Parsed!$C$2:$C$10,0))*INDEX(Parsed!$I$2:$I$190,(MATCH(B66,Data!$B$2:$B$22,0)-1)*9+MATCH("Past",Parsed!$C$2:$C$10,0)),0)+IF(INDEX(Parsed!$K$2:$K$190,(MATCH(A66,Data!$B$2:$B$22,0)-1)*9+MATCH("D/S",Parsed!$C$2:$C$10,0))=INDEX(Parsed!$H$2:$H$190,(MATCH(B66,Data!$B$2:$B$22,0)-1)*9+MATCH("D/S",Parsed!$C$2:$C$10,0)),INDEX(Parsed!$M$2:$M$190,(MATCH(A66,Data!$B$2:$B$22,0)-1)*9+MATCH("D/S",Parsed!$C$2:$C$10,0))*INDEX(Parsed!$I$2:$I$190,(MATCH(B66,Data!$B$2:$B$22,0)-1)*9+MATCH("D/S",Parsed!$C$2:$C$10,0)),0)+IF(INDEX(Parsed!$K$2:$K$190,(MATCH(A66,Data!$B$2:$B$22,0)-1)*9+MATCH("True/kind",Parsed!$C$2:$C$10,0))=INDEX(Parsed!$H$2:$H$190,(MATCH(B66,Data!$B$2:$B$22,0)-1)*9+MATCH("True/kind",Parsed!$C$2:$C$10,0)),INDEX(Parsed!$M$2:$M$190,(MATCH(A66,Data!$B$2:$B$22,0)-1)*9+MATCH("True/kind",Parsed!$C$2:$C$10,0))*INDEX(Parsed!$I$2:$I$190,(MATCH(B66,Data!$B$2:$B$22,0)-1)*9+MATCH("True/kind",Parsed!$C$2:$C$10,0)),0)+IF(INDEX(Parsed!$K$2:$K$190,(MATCH(A66,Data!$B$2:$B$22,0)-1)*9+MATCH("Animal",Parsed!$C$2:$C$10,0))=INDEX(Parsed!$H$2:$H$190,(MATCH(B66,Data!$B$2:$B$22,0)-1)*9+MATCH("Animal",Parsed!$C$2:$C$10,0)),INDEX(Parsed!$M$2:$M$190,(MATCH(A66,Data!$B$2:$B$22,0)-1)*9+MATCH("Animal",Parsed!$C$2:$C$10,0))*INDEX(Parsed!$I$2:$I$190,(MATCH(B66,Data!$B$2:$B$22,0)-1)*9+MATCH("Animal",Parsed!$C$2:$C$10,0)),0),0)</x:f>
        <x:v>75</x:v>
      </x:c>
      <x:c r="E66" s="11" t="n">
        <x:f>SQRT(C66*D66)</x:f>
        <x:v>69.14658342969665</x:v>
      </x:c>
    </x:row>
    <x:row r="67">
      <x:c r="A67" t="str">
        <x:v>will</x:v>
      </x:c>
      <x:c r="B67" t="str">
        <x:v>edith</x:v>
      </x:c>
      <x:c r="C67" s="11" t="n">
        <x:f>IFERROR(IF(INDEX(Parsed!$K$2:$K$190,(MATCH(B67,Data!$B$2:$B$22,0)-1)*9+MATCH("God",Parsed!$C$2:$C$10,0))=INDEX(Parsed!$H$2:$H$190,(MATCH(A67,Data!$B$2:$B$22,0)-1)*9+MATCH("God",Parsed!$C$2:$C$10,0)),INDEX(Parsed!$M$2:$M$190,(MATCH(B67,Data!$B$2:$B$22,0)-1)*9+MATCH("God",Parsed!$C$2:$C$10,0))*INDEX(Parsed!$I$2:$I$190,(MATCH(A67,Data!$B$2:$B$22,0)-1)*9+MATCH("God",Parsed!$C$2:$C$10,0)),0)+IF(INDEX(Parsed!$K$2:$K$190,(MATCH(B67,Data!$B$2:$B$22,0)-1)*9+MATCH("Politics",Parsed!$C$2:$C$10,0))=INDEX(Parsed!$H$2:$H$190,(MATCH(A67,Data!$B$2:$B$22,0)-1)*9+MATCH("Politics",Parsed!$C$2:$C$10,0)),INDEX(Parsed!$M$2:$M$190,(MATCH(B67,Data!$B$2:$B$22,0)-1)*9+MATCH("Politics",Parsed!$C$2:$C$10,0))*INDEX(Parsed!$I$2:$I$190,(MATCH(A67,Data!$B$2:$B$22,0)-1)*9+MATCH("Politics",Parsed!$C$2:$C$10,0)),0)+IF(INDEX(Parsed!$K$2:$K$190,(MATCH(B67,Data!$B$2:$B$22,0)-1)*9+MATCH("Marriage",Parsed!$C$2:$C$10,0))=INDEX(Parsed!$H$2:$H$190,(MATCH(A67,Data!$B$2:$B$22,0)-1)*9+MATCH("Marriage",Parsed!$C$2:$C$10,0)),INDEX(Parsed!$M$2:$M$190,(MATCH(B67,Data!$B$2:$B$22,0)-1)*9+MATCH("Marriage",Parsed!$C$2:$C$10,0))*INDEX(Parsed!$I$2:$I$190,(MATCH(A67,Data!$B$2:$B$22,0)-1)*9+MATCH("Marriage",Parsed!$C$2:$C$10,0)),0)+IF(INDEX(Parsed!$K$2:$K$190,(MATCH(B67,Data!$B$2:$B$22,0)-1)*9+MATCH("Children",Parsed!$C$2:$C$10,0))=INDEX(Parsed!$H$2:$H$190,(MATCH(A67,Data!$B$2:$B$22,0)-1)*9+MATCH("Children",Parsed!$C$2:$C$10,0)),INDEX(Parsed!$M$2:$M$190,(MATCH(B67,Data!$B$2:$B$22,0)-1)*9+MATCH("Children",Parsed!$C$2:$C$10,0))*INDEX(Parsed!$I$2:$I$190,(MATCH(A67,Data!$B$2:$B$22,0)-1)*9+MATCH("Children",Parsed!$C$2:$C$10,0)),0)+IF(INDEX(Parsed!$K$2:$K$190,(MATCH(B67,Data!$B$2:$B$22,0)-1)*9+MATCH("Ethicity",Parsed!$C$2:$C$10,0))=INDEX(Parsed!$H$2:$H$190,(MATCH(A67,Data!$B$2:$B$22,0)-1)*9+MATCH("Ethicity",Parsed!$C$2:$C$10,0)),INDEX(Parsed!$M$2:$M$190,(MATCH(B67,Data!$B$2:$B$22,0)-1)*9+MATCH("Ethicity",Parsed!$C$2:$C$10,0))*INDEX(Parsed!$I$2:$I$190,(MATCH(A67,Data!$B$2:$B$22,0)-1)*9+MATCH("Ethicity",Parsed!$C$2:$C$10,0)),0)+IF(INDEX(Parsed!$K$2:$K$190,(MATCH(B67,Data!$B$2:$B$22,0)-1)*9+MATCH("Past",Parsed!$C$2:$C$10,0))=INDEX(Parsed!$H$2:$H$190,(MATCH(A67,Data!$B$2:$B$22,0)-1)*9+MATCH("Past",Parsed!$C$2:$C$10,0)),INDEX(Parsed!$M$2:$M$190,(MATCH(B67,Data!$B$2:$B$22,0)-1)*9+MATCH("Past",Parsed!$C$2:$C$10,0))*INDEX(Parsed!$I$2:$I$190,(MATCH(A67,Data!$B$2:$B$22,0)-1)*9+MATCH("Past",Parsed!$C$2:$C$10,0)),0)+IF(INDEX(Parsed!$K$2:$K$190,(MATCH(B67,Data!$B$2:$B$22,0)-1)*9+MATCH("D/S",Parsed!$C$2:$C$10,0))=INDEX(Parsed!$H$2:$H$190,(MATCH(A67,Data!$B$2:$B$22,0)-1)*9+MATCH("D/S",Parsed!$C$2:$C$10,0)),INDEX(Parsed!$M$2:$M$190,(MATCH(B67,Data!$B$2:$B$22,0)-1)*9+MATCH("D/S",Parsed!$C$2:$C$10,0))*INDEX(Parsed!$I$2:$I$190,(MATCH(A67,Data!$B$2:$B$22,0)-1)*9+MATCH("D/S",Parsed!$C$2:$C$10,0)),0)+IF(INDEX(Parsed!$K$2:$K$190,(MATCH(B67,Data!$B$2:$B$22,0)-1)*9+MATCH("True/kind",Parsed!$C$2:$C$10,0))=INDEX(Parsed!$H$2:$H$190,(MATCH(A67,Data!$B$2:$B$22,0)-1)*9+MATCH("True/kind",Parsed!$C$2:$C$10,0)),INDEX(Parsed!$M$2:$M$190,(MATCH(B67,Data!$B$2:$B$22,0)-1)*9+MATCH("True/kind",Parsed!$C$2:$C$10,0))*INDEX(Parsed!$I$2:$I$190,(MATCH(A67,Data!$B$2:$B$22,0)-1)*9+MATCH("True/kind",Parsed!$C$2:$C$10,0)),0)+IF(INDEX(Parsed!$K$2:$K$190,(MATCH(B67,Data!$B$2:$B$22,0)-1)*9+MATCH("Animal",Parsed!$C$2:$C$10,0))=INDEX(Parsed!$H$2:$H$190,(MATCH(A67,Data!$B$2:$B$22,0)-1)*9+MATCH("Animal",Parsed!$C$2:$C$10,0)),INDEX(Parsed!$M$2:$M$190,(MATCH(B67,Data!$B$2:$B$22,0)-1)*9+MATCH("Animal",Parsed!$C$2:$C$10,0))*INDEX(Parsed!$I$2:$I$190,(MATCH(A67,Data!$B$2:$B$22,0)-1)*9+MATCH("Animal",Parsed!$C$2:$C$10,0)),0),0)</x:f>
        <x:v>26.25</x:v>
      </x:c>
      <x:c r="D67" s="11" t="n">
        <x:f>IFERROR(IF(INDEX(Parsed!$K$2:$K$190,(MATCH(A67,Data!$B$2:$B$22,0)-1)*9+MATCH("God",Parsed!$C$2:$C$10,0))=INDEX(Parsed!$H$2:$H$190,(MATCH(B67,Data!$B$2:$B$22,0)-1)*9+MATCH("God",Parsed!$C$2:$C$10,0)),INDEX(Parsed!$M$2:$M$190,(MATCH(A67,Data!$B$2:$B$22,0)-1)*9+MATCH("God",Parsed!$C$2:$C$10,0))*INDEX(Parsed!$I$2:$I$190,(MATCH(B67,Data!$B$2:$B$22,0)-1)*9+MATCH("God",Parsed!$C$2:$C$10,0)),0)+IF(INDEX(Parsed!$K$2:$K$190,(MATCH(A67,Data!$B$2:$B$22,0)-1)*9+MATCH("Politics",Parsed!$C$2:$C$10,0))=INDEX(Parsed!$H$2:$H$190,(MATCH(B67,Data!$B$2:$B$22,0)-1)*9+MATCH("Politics",Parsed!$C$2:$C$10,0)),INDEX(Parsed!$M$2:$M$190,(MATCH(A67,Data!$B$2:$B$22,0)-1)*9+MATCH("Politics",Parsed!$C$2:$C$10,0))*INDEX(Parsed!$I$2:$I$190,(MATCH(B67,Data!$B$2:$B$22,0)-1)*9+MATCH("Politics",Parsed!$C$2:$C$10,0)),0)+IF(INDEX(Parsed!$K$2:$K$190,(MATCH(A67,Data!$B$2:$B$22,0)-1)*9+MATCH("Marriage",Parsed!$C$2:$C$10,0))=INDEX(Parsed!$H$2:$H$190,(MATCH(B67,Data!$B$2:$B$22,0)-1)*9+MATCH("Marriage",Parsed!$C$2:$C$10,0)),INDEX(Parsed!$M$2:$M$190,(MATCH(A67,Data!$B$2:$B$22,0)-1)*9+MATCH("Marriage",Parsed!$C$2:$C$10,0))*INDEX(Parsed!$I$2:$I$190,(MATCH(B67,Data!$B$2:$B$22,0)-1)*9+MATCH("Marriage",Parsed!$C$2:$C$10,0)),0)+IF(INDEX(Parsed!$K$2:$K$190,(MATCH(A67,Data!$B$2:$B$22,0)-1)*9+MATCH("Children",Parsed!$C$2:$C$10,0))=INDEX(Parsed!$H$2:$H$190,(MATCH(B67,Data!$B$2:$B$22,0)-1)*9+MATCH("Children",Parsed!$C$2:$C$10,0)),INDEX(Parsed!$M$2:$M$190,(MATCH(A67,Data!$B$2:$B$22,0)-1)*9+MATCH("Children",Parsed!$C$2:$C$10,0))*INDEX(Parsed!$I$2:$I$190,(MATCH(B67,Data!$B$2:$B$22,0)-1)*9+MATCH("Children",Parsed!$C$2:$C$10,0)),0)+IF(INDEX(Parsed!$K$2:$K$190,(MATCH(A67,Data!$B$2:$B$22,0)-1)*9+MATCH("Ethicity",Parsed!$C$2:$C$10,0))=INDEX(Parsed!$H$2:$H$190,(MATCH(B67,Data!$B$2:$B$22,0)-1)*9+MATCH("Ethicity",Parsed!$C$2:$C$10,0)),INDEX(Parsed!$M$2:$M$190,(MATCH(A67,Data!$B$2:$B$22,0)-1)*9+MATCH("Ethicity",Parsed!$C$2:$C$10,0))*INDEX(Parsed!$I$2:$I$190,(MATCH(B67,Data!$B$2:$B$22,0)-1)*9+MATCH("Ethicity",Parsed!$C$2:$C$10,0)),0)+IF(INDEX(Parsed!$K$2:$K$190,(MATCH(A67,Data!$B$2:$B$22,0)-1)*9+MATCH("Past",Parsed!$C$2:$C$10,0))=INDEX(Parsed!$H$2:$H$190,(MATCH(B67,Data!$B$2:$B$22,0)-1)*9+MATCH("Past",Parsed!$C$2:$C$10,0)),INDEX(Parsed!$M$2:$M$190,(MATCH(A67,Data!$B$2:$B$22,0)-1)*9+MATCH("Past",Parsed!$C$2:$C$10,0))*INDEX(Parsed!$I$2:$I$190,(MATCH(B67,Data!$B$2:$B$22,0)-1)*9+MATCH("Past",Parsed!$C$2:$C$10,0)),0)+IF(INDEX(Parsed!$K$2:$K$190,(MATCH(A67,Data!$B$2:$B$22,0)-1)*9+MATCH("D/S",Parsed!$C$2:$C$10,0))=INDEX(Parsed!$H$2:$H$190,(MATCH(B67,Data!$B$2:$B$22,0)-1)*9+MATCH("D/S",Parsed!$C$2:$C$10,0)),INDEX(Parsed!$M$2:$M$190,(MATCH(A67,Data!$B$2:$B$22,0)-1)*9+MATCH("D/S",Parsed!$C$2:$C$10,0))*INDEX(Parsed!$I$2:$I$190,(MATCH(B67,Data!$B$2:$B$22,0)-1)*9+MATCH("D/S",Parsed!$C$2:$C$10,0)),0)+IF(INDEX(Parsed!$K$2:$K$190,(MATCH(A67,Data!$B$2:$B$22,0)-1)*9+MATCH("True/kind",Parsed!$C$2:$C$10,0))=INDEX(Parsed!$H$2:$H$190,(MATCH(B67,Data!$B$2:$B$22,0)-1)*9+MATCH("True/kind",Parsed!$C$2:$C$10,0)),INDEX(Parsed!$M$2:$M$190,(MATCH(A67,Data!$B$2:$B$22,0)-1)*9+MATCH("True/kind",Parsed!$C$2:$C$10,0))*INDEX(Parsed!$I$2:$I$190,(MATCH(B67,Data!$B$2:$B$22,0)-1)*9+MATCH("True/kind",Parsed!$C$2:$C$10,0)),0)+IF(INDEX(Parsed!$K$2:$K$190,(MATCH(A67,Data!$B$2:$B$22,0)-1)*9+MATCH("Animal",Parsed!$C$2:$C$10,0))=INDEX(Parsed!$H$2:$H$190,(MATCH(B67,Data!$B$2:$B$22,0)-1)*9+MATCH("Animal",Parsed!$C$2:$C$10,0)),INDEX(Parsed!$M$2:$M$190,(MATCH(A67,Data!$B$2:$B$22,0)-1)*9+MATCH("Animal",Parsed!$C$2:$C$10,0))*INDEX(Parsed!$I$2:$I$190,(MATCH(B67,Data!$B$2:$B$22,0)-1)*9+MATCH("Animal",Parsed!$C$2:$C$10,0)),0),0)</x:f>
        <x:v>37.5</x:v>
      </x:c>
      <x:c r="E67" s="11" t="n">
        <x:f>SQRT(C67*D67)</x:f>
        <x:v>31.37475099502783</x:v>
      </x:c>
    </x:row>
    <x:row r="68">
      <x:c r="A68" t="str">
        <x:v>will</x:v>
      </x:c>
      <x:c r="B68" t="str">
        <x:v>sophiah</x:v>
      </x:c>
      <x:c r="C68" s="11" t="n">
        <x:f>IFERROR(IF(INDEX(Parsed!$K$2:$K$190,(MATCH(B68,Data!$B$2:$B$22,0)-1)*9+MATCH("God",Parsed!$C$2:$C$10,0))=INDEX(Parsed!$H$2:$H$190,(MATCH(A68,Data!$B$2:$B$22,0)-1)*9+MATCH("God",Parsed!$C$2:$C$10,0)),INDEX(Parsed!$M$2:$M$190,(MATCH(B68,Data!$B$2:$B$22,0)-1)*9+MATCH("God",Parsed!$C$2:$C$10,0))*INDEX(Parsed!$I$2:$I$190,(MATCH(A68,Data!$B$2:$B$22,0)-1)*9+MATCH("God",Parsed!$C$2:$C$10,0)),0)+IF(INDEX(Parsed!$K$2:$K$190,(MATCH(B68,Data!$B$2:$B$22,0)-1)*9+MATCH("Politics",Parsed!$C$2:$C$10,0))=INDEX(Parsed!$H$2:$H$190,(MATCH(A68,Data!$B$2:$B$22,0)-1)*9+MATCH("Politics",Parsed!$C$2:$C$10,0)),INDEX(Parsed!$M$2:$M$190,(MATCH(B68,Data!$B$2:$B$22,0)-1)*9+MATCH("Politics",Parsed!$C$2:$C$10,0))*INDEX(Parsed!$I$2:$I$190,(MATCH(A68,Data!$B$2:$B$22,0)-1)*9+MATCH("Politics",Parsed!$C$2:$C$10,0)),0)+IF(INDEX(Parsed!$K$2:$K$190,(MATCH(B68,Data!$B$2:$B$22,0)-1)*9+MATCH("Marriage",Parsed!$C$2:$C$10,0))=INDEX(Parsed!$H$2:$H$190,(MATCH(A68,Data!$B$2:$B$22,0)-1)*9+MATCH("Marriage",Parsed!$C$2:$C$10,0)),INDEX(Parsed!$M$2:$M$190,(MATCH(B68,Data!$B$2:$B$22,0)-1)*9+MATCH("Marriage",Parsed!$C$2:$C$10,0))*INDEX(Parsed!$I$2:$I$190,(MATCH(A68,Data!$B$2:$B$22,0)-1)*9+MATCH("Marriage",Parsed!$C$2:$C$10,0)),0)+IF(INDEX(Parsed!$K$2:$K$190,(MATCH(B68,Data!$B$2:$B$22,0)-1)*9+MATCH("Children",Parsed!$C$2:$C$10,0))=INDEX(Parsed!$H$2:$H$190,(MATCH(A68,Data!$B$2:$B$22,0)-1)*9+MATCH("Children",Parsed!$C$2:$C$10,0)),INDEX(Parsed!$M$2:$M$190,(MATCH(B68,Data!$B$2:$B$22,0)-1)*9+MATCH("Children",Parsed!$C$2:$C$10,0))*INDEX(Parsed!$I$2:$I$190,(MATCH(A68,Data!$B$2:$B$22,0)-1)*9+MATCH("Children",Parsed!$C$2:$C$10,0)),0)+IF(INDEX(Parsed!$K$2:$K$190,(MATCH(B68,Data!$B$2:$B$22,0)-1)*9+MATCH("Ethicity",Parsed!$C$2:$C$10,0))=INDEX(Parsed!$H$2:$H$190,(MATCH(A68,Data!$B$2:$B$22,0)-1)*9+MATCH("Ethicity",Parsed!$C$2:$C$10,0)),INDEX(Parsed!$M$2:$M$190,(MATCH(B68,Data!$B$2:$B$22,0)-1)*9+MATCH("Ethicity",Parsed!$C$2:$C$10,0))*INDEX(Parsed!$I$2:$I$190,(MATCH(A68,Data!$B$2:$B$22,0)-1)*9+MATCH("Ethicity",Parsed!$C$2:$C$10,0)),0)+IF(INDEX(Parsed!$K$2:$K$190,(MATCH(B68,Data!$B$2:$B$22,0)-1)*9+MATCH("Past",Parsed!$C$2:$C$10,0))=INDEX(Parsed!$H$2:$H$190,(MATCH(A68,Data!$B$2:$B$22,0)-1)*9+MATCH("Past",Parsed!$C$2:$C$10,0)),INDEX(Parsed!$M$2:$M$190,(MATCH(B68,Data!$B$2:$B$22,0)-1)*9+MATCH("Past",Parsed!$C$2:$C$10,0))*INDEX(Parsed!$I$2:$I$190,(MATCH(A68,Data!$B$2:$B$22,0)-1)*9+MATCH("Past",Parsed!$C$2:$C$10,0)),0)+IF(INDEX(Parsed!$K$2:$K$190,(MATCH(B68,Data!$B$2:$B$22,0)-1)*9+MATCH("D/S",Parsed!$C$2:$C$10,0))=INDEX(Parsed!$H$2:$H$190,(MATCH(A68,Data!$B$2:$B$22,0)-1)*9+MATCH("D/S",Parsed!$C$2:$C$10,0)),INDEX(Parsed!$M$2:$M$190,(MATCH(B68,Data!$B$2:$B$22,0)-1)*9+MATCH("D/S",Parsed!$C$2:$C$10,0))*INDEX(Parsed!$I$2:$I$190,(MATCH(A68,Data!$B$2:$B$22,0)-1)*9+MATCH("D/S",Parsed!$C$2:$C$10,0)),0)+IF(INDEX(Parsed!$K$2:$K$190,(MATCH(B68,Data!$B$2:$B$22,0)-1)*9+MATCH("True/kind",Parsed!$C$2:$C$10,0))=INDEX(Parsed!$H$2:$H$190,(MATCH(A68,Data!$B$2:$B$22,0)-1)*9+MATCH("True/kind",Parsed!$C$2:$C$10,0)),INDEX(Parsed!$M$2:$M$190,(MATCH(B68,Data!$B$2:$B$22,0)-1)*9+MATCH("True/kind",Parsed!$C$2:$C$10,0))*INDEX(Parsed!$I$2:$I$190,(MATCH(A68,Data!$B$2:$B$22,0)-1)*9+MATCH("True/kind",Parsed!$C$2:$C$10,0)),0)+IF(INDEX(Parsed!$K$2:$K$190,(MATCH(B68,Data!$B$2:$B$22,0)-1)*9+MATCH("Animal",Parsed!$C$2:$C$10,0))=INDEX(Parsed!$H$2:$H$190,(MATCH(A68,Data!$B$2:$B$22,0)-1)*9+MATCH("Animal",Parsed!$C$2:$C$10,0)),INDEX(Parsed!$M$2:$M$190,(MATCH(B68,Data!$B$2:$B$22,0)-1)*9+MATCH("Animal",Parsed!$C$2:$C$10,0))*INDEX(Parsed!$I$2:$I$190,(MATCH(A68,Data!$B$2:$B$22,0)-1)*9+MATCH("Animal",Parsed!$C$2:$C$10,0)),0),0)</x:f>
        <x:v>26.25</x:v>
      </x:c>
      <x:c r="D68" s="11" t="n">
        <x:f>IFERROR(IF(INDEX(Parsed!$K$2:$K$190,(MATCH(A68,Data!$B$2:$B$22,0)-1)*9+MATCH("God",Parsed!$C$2:$C$10,0))=INDEX(Parsed!$H$2:$H$190,(MATCH(B68,Data!$B$2:$B$22,0)-1)*9+MATCH("God",Parsed!$C$2:$C$10,0)),INDEX(Parsed!$M$2:$M$190,(MATCH(A68,Data!$B$2:$B$22,0)-1)*9+MATCH("God",Parsed!$C$2:$C$10,0))*INDEX(Parsed!$I$2:$I$190,(MATCH(B68,Data!$B$2:$B$22,0)-1)*9+MATCH("God",Parsed!$C$2:$C$10,0)),0)+IF(INDEX(Parsed!$K$2:$K$190,(MATCH(A68,Data!$B$2:$B$22,0)-1)*9+MATCH("Politics",Parsed!$C$2:$C$10,0))=INDEX(Parsed!$H$2:$H$190,(MATCH(B68,Data!$B$2:$B$22,0)-1)*9+MATCH("Politics",Parsed!$C$2:$C$10,0)),INDEX(Parsed!$M$2:$M$190,(MATCH(A68,Data!$B$2:$B$22,0)-1)*9+MATCH("Politics",Parsed!$C$2:$C$10,0))*INDEX(Parsed!$I$2:$I$190,(MATCH(B68,Data!$B$2:$B$22,0)-1)*9+MATCH("Politics",Parsed!$C$2:$C$10,0)),0)+IF(INDEX(Parsed!$K$2:$K$190,(MATCH(A68,Data!$B$2:$B$22,0)-1)*9+MATCH("Marriage",Parsed!$C$2:$C$10,0))=INDEX(Parsed!$H$2:$H$190,(MATCH(B68,Data!$B$2:$B$22,0)-1)*9+MATCH("Marriage",Parsed!$C$2:$C$10,0)),INDEX(Parsed!$M$2:$M$190,(MATCH(A68,Data!$B$2:$B$22,0)-1)*9+MATCH("Marriage",Parsed!$C$2:$C$10,0))*INDEX(Parsed!$I$2:$I$190,(MATCH(B68,Data!$B$2:$B$22,0)-1)*9+MATCH("Marriage",Parsed!$C$2:$C$10,0)),0)+IF(INDEX(Parsed!$K$2:$K$190,(MATCH(A68,Data!$B$2:$B$22,0)-1)*9+MATCH("Children",Parsed!$C$2:$C$10,0))=INDEX(Parsed!$H$2:$H$190,(MATCH(B68,Data!$B$2:$B$22,0)-1)*9+MATCH("Children",Parsed!$C$2:$C$10,0)),INDEX(Parsed!$M$2:$M$190,(MATCH(A68,Data!$B$2:$B$22,0)-1)*9+MATCH("Children",Parsed!$C$2:$C$10,0))*INDEX(Parsed!$I$2:$I$190,(MATCH(B68,Data!$B$2:$B$22,0)-1)*9+MATCH("Children",Parsed!$C$2:$C$10,0)),0)+IF(INDEX(Parsed!$K$2:$K$190,(MATCH(A68,Data!$B$2:$B$22,0)-1)*9+MATCH("Ethicity",Parsed!$C$2:$C$10,0))=INDEX(Parsed!$H$2:$H$190,(MATCH(B68,Data!$B$2:$B$22,0)-1)*9+MATCH("Ethicity",Parsed!$C$2:$C$10,0)),INDEX(Parsed!$M$2:$M$190,(MATCH(A68,Data!$B$2:$B$22,0)-1)*9+MATCH("Ethicity",Parsed!$C$2:$C$10,0))*INDEX(Parsed!$I$2:$I$190,(MATCH(B68,Data!$B$2:$B$22,0)-1)*9+MATCH("Ethicity",Parsed!$C$2:$C$10,0)),0)+IF(INDEX(Parsed!$K$2:$K$190,(MATCH(A68,Data!$B$2:$B$22,0)-1)*9+MATCH("Past",Parsed!$C$2:$C$10,0))=INDEX(Parsed!$H$2:$H$190,(MATCH(B68,Data!$B$2:$B$22,0)-1)*9+MATCH("Past",Parsed!$C$2:$C$10,0)),INDEX(Parsed!$M$2:$M$190,(MATCH(A68,Data!$B$2:$B$22,0)-1)*9+MATCH("Past",Parsed!$C$2:$C$10,0))*INDEX(Parsed!$I$2:$I$190,(MATCH(B68,Data!$B$2:$B$22,0)-1)*9+MATCH("Past",Parsed!$C$2:$C$10,0)),0)+IF(INDEX(Parsed!$K$2:$K$190,(MATCH(A68,Data!$B$2:$B$22,0)-1)*9+MATCH("D/S",Parsed!$C$2:$C$10,0))=INDEX(Parsed!$H$2:$H$190,(MATCH(B68,Data!$B$2:$B$22,0)-1)*9+MATCH("D/S",Parsed!$C$2:$C$10,0)),INDEX(Parsed!$M$2:$M$190,(MATCH(A68,Data!$B$2:$B$22,0)-1)*9+MATCH("D/S",Parsed!$C$2:$C$10,0))*INDEX(Parsed!$I$2:$I$190,(MATCH(B68,Data!$B$2:$B$22,0)-1)*9+MATCH("D/S",Parsed!$C$2:$C$10,0)),0)+IF(INDEX(Parsed!$K$2:$K$190,(MATCH(A68,Data!$B$2:$B$22,0)-1)*9+MATCH("True/kind",Parsed!$C$2:$C$10,0))=INDEX(Parsed!$H$2:$H$190,(MATCH(B68,Data!$B$2:$B$22,0)-1)*9+MATCH("True/kind",Parsed!$C$2:$C$10,0)),INDEX(Parsed!$M$2:$M$190,(MATCH(A68,Data!$B$2:$B$22,0)-1)*9+MATCH("True/kind",Parsed!$C$2:$C$10,0))*INDEX(Parsed!$I$2:$I$190,(MATCH(B68,Data!$B$2:$B$22,0)-1)*9+MATCH("True/kind",Parsed!$C$2:$C$10,0)),0)+IF(INDEX(Parsed!$K$2:$K$190,(MATCH(A68,Data!$B$2:$B$22,0)-1)*9+MATCH("Animal",Parsed!$C$2:$C$10,0))=INDEX(Parsed!$H$2:$H$190,(MATCH(B68,Data!$B$2:$B$22,0)-1)*9+MATCH("Animal",Parsed!$C$2:$C$10,0)),INDEX(Parsed!$M$2:$M$190,(MATCH(A68,Data!$B$2:$B$22,0)-1)*9+MATCH("Animal",Parsed!$C$2:$C$10,0))*INDEX(Parsed!$I$2:$I$190,(MATCH(B68,Data!$B$2:$B$22,0)-1)*9+MATCH("Animal",Parsed!$C$2:$C$10,0)),0),0)</x:f>
        <x:v>62.5</x:v>
      </x:c>
      <x:c r="E68" s="11" t="n">
        <x:f>SQRT(C68*D68)</x:f>
        <x:v>40.50462936504913</x:v>
      </x:c>
    </x:row>
    <x:row r="69">
      <x:c r="A69" t="str">
        <x:v>will</x:v>
      </x:c>
      <x:c r="B69" t="str">
        <x:v>angela</x:v>
      </x:c>
      <x:c r="C69" s="11" t="n">
        <x:f>IFERROR(IF(INDEX(Parsed!$K$2:$K$190,(MATCH(B69,Data!$B$2:$B$22,0)-1)*9+MATCH("God",Parsed!$C$2:$C$10,0))=INDEX(Parsed!$H$2:$H$190,(MATCH(A69,Data!$B$2:$B$22,0)-1)*9+MATCH("God",Parsed!$C$2:$C$10,0)),INDEX(Parsed!$M$2:$M$190,(MATCH(B69,Data!$B$2:$B$22,0)-1)*9+MATCH("God",Parsed!$C$2:$C$10,0))*INDEX(Parsed!$I$2:$I$190,(MATCH(A69,Data!$B$2:$B$22,0)-1)*9+MATCH("God",Parsed!$C$2:$C$10,0)),0)+IF(INDEX(Parsed!$K$2:$K$190,(MATCH(B69,Data!$B$2:$B$22,0)-1)*9+MATCH("Politics",Parsed!$C$2:$C$10,0))=INDEX(Parsed!$H$2:$H$190,(MATCH(A69,Data!$B$2:$B$22,0)-1)*9+MATCH("Politics",Parsed!$C$2:$C$10,0)),INDEX(Parsed!$M$2:$M$190,(MATCH(B69,Data!$B$2:$B$22,0)-1)*9+MATCH("Politics",Parsed!$C$2:$C$10,0))*INDEX(Parsed!$I$2:$I$190,(MATCH(A69,Data!$B$2:$B$22,0)-1)*9+MATCH("Politics",Parsed!$C$2:$C$10,0)),0)+IF(INDEX(Parsed!$K$2:$K$190,(MATCH(B69,Data!$B$2:$B$22,0)-1)*9+MATCH("Marriage",Parsed!$C$2:$C$10,0))=INDEX(Parsed!$H$2:$H$190,(MATCH(A69,Data!$B$2:$B$22,0)-1)*9+MATCH("Marriage",Parsed!$C$2:$C$10,0)),INDEX(Parsed!$M$2:$M$190,(MATCH(B69,Data!$B$2:$B$22,0)-1)*9+MATCH("Marriage",Parsed!$C$2:$C$10,0))*INDEX(Parsed!$I$2:$I$190,(MATCH(A69,Data!$B$2:$B$22,0)-1)*9+MATCH("Marriage",Parsed!$C$2:$C$10,0)),0)+IF(INDEX(Parsed!$K$2:$K$190,(MATCH(B69,Data!$B$2:$B$22,0)-1)*9+MATCH("Children",Parsed!$C$2:$C$10,0))=INDEX(Parsed!$H$2:$H$190,(MATCH(A69,Data!$B$2:$B$22,0)-1)*9+MATCH("Children",Parsed!$C$2:$C$10,0)),INDEX(Parsed!$M$2:$M$190,(MATCH(B69,Data!$B$2:$B$22,0)-1)*9+MATCH("Children",Parsed!$C$2:$C$10,0))*INDEX(Parsed!$I$2:$I$190,(MATCH(A69,Data!$B$2:$B$22,0)-1)*9+MATCH("Children",Parsed!$C$2:$C$10,0)),0)+IF(INDEX(Parsed!$K$2:$K$190,(MATCH(B69,Data!$B$2:$B$22,0)-1)*9+MATCH("Ethicity",Parsed!$C$2:$C$10,0))=INDEX(Parsed!$H$2:$H$190,(MATCH(A69,Data!$B$2:$B$22,0)-1)*9+MATCH("Ethicity",Parsed!$C$2:$C$10,0)),INDEX(Parsed!$M$2:$M$190,(MATCH(B69,Data!$B$2:$B$22,0)-1)*9+MATCH("Ethicity",Parsed!$C$2:$C$10,0))*INDEX(Parsed!$I$2:$I$190,(MATCH(A69,Data!$B$2:$B$22,0)-1)*9+MATCH("Ethicity",Parsed!$C$2:$C$10,0)),0)+IF(INDEX(Parsed!$K$2:$K$190,(MATCH(B69,Data!$B$2:$B$22,0)-1)*9+MATCH("Past",Parsed!$C$2:$C$10,0))=INDEX(Parsed!$H$2:$H$190,(MATCH(A69,Data!$B$2:$B$22,0)-1)*9+MATCH("Past",Parsed!$C$2:$C$10,0)),INDEX(Parsed!$M$2:$M$190,(MATCH(B69,Data!$B$2:$B$22,0)-1)*9+MATCH("Past",Parsed!$C$2:$C$10,0))*INDEX(Parsed!$I$2:$I$190,(MATCH(A69,Data!$B$2:$B$22,0)-1)*9+MATCH("Past",Parsed!$C$2:$C$10,0)),0)+IF(INDEX(Parsed!$K$2:$K$190,(MATCH(B69,Data!$B$2:$B$22,0)-1)*9+MATCH("D/S",Parsed!$C$2:$C$10,0))=INDEX(Parsed!$H$2:$H$190,(MATCH(A69,Data!$B$2:$B$22,0)-1)*9+MATCH("D/S",Parsed!$C$2:$C$10,0)),INDEX(Parsed!$M$2:$M$190,(MATCH(B69,Data!$B$2:$B$22,0)-1)*9+MATCH("D/S",Parsed!$C$2:$C$10,0))*INDEX(Parsed!$I$2:$I$190,(MATCH(A69,Data!$B$2:$B$22,0)-1)*9+MATCH("D/S",Parsed!$C$2:$C$10,0)),0)+IF(INDEX(Parsed!$K$2:$K$190,(MATCH(B69,Data!$B$2:$B$22,0)-1)*9+MATCH("True/kind",Parsed!$C$2:$C$10,0))=INDEX(Parsed!$H$2:$H$190,(MATCH(A69,Data!$B$2:$B$22,0)-1)*9+MATCH("True/kind",Parsed!$C$2:$C$10,0)),INDEX(Parsed!$M$2:$M$190,(MATCH(B69,Data!$B$2:$B$22,0)-1)*9+MATCH("True/kind",Parsed!$C$2:$C$10,0))*INDEX(Parsed!$I$2:$I$190,(MATCH(A69,Data!$B$2:$B$22,0)-1)*9+MATCH("True/kind",Parsed!$C$2:$C$10,0)),0)+IF(INDEX(Parsed!$K$2:$K$190,(MATCH(B69,Data!$B$2:$B$22,0)-1)*9+MATCH("Animal",Parsed!$C$2:$C$10,0))=INDEX(Parsed!$H$2:$H$190,(MATCH(A69,Data!$B$2:$B$22,0)-1)*9+MATCH("Animal",Parsed!$C$2:$C$10,0)),INDEX(Parsed!$M$2:$M$190,(MATCH(B69,Data!$B$2:$B$22,0)-1)*9+MATCH("Animal",Parsed!$C$2:$C$10,0))*INDEX(Parsed!$I$2:$I$190,(MATCH(A69,Data!$B$2:$B$22,0)-1)*9+MATCH("Animal",Parsed!$C$2:$C$10,0)),0),0)</x:f>
        <x:v>36.25</x:v>
      </x:c>
      <x:c r="D69" s="11" t="n">
        <x:f>IFERROR(IF(INDEX(Parsed!$K$2:$K$190,(MATCH(A69,Data!$B$2:$B$22,0)-1)*9+MATCH("God",Parsed!$C$2:$C$10,0))=INDEX(Parsed!$H$2:$H$190,(MATCH(B69,Data!$B$2:$B$22,0)-1)*9+MATCH("God",Parsed!$C$2:$C$10,0)),INDEX(Parsed!$M$2:$M$190,(MATCH(A69,Data!$B$2:$B$22,0)-1)*9+MATCH("God",Parsed!$C$2:$C$10,0))*INDEX(Parsed!$I$2:$I$190,(MATCH(B69,Data!$B$2:$B$22,0)-1)*9+MATCH("God",Parsed!$C$2:$C$10,0)),0)+IF(INDEX(Parsed!$K$2:$K$190,(MATCH(A69,Data!$B$2:$B$22,0)-1)*9+MATCH("Politics",Parsed!$C$2:$C$10,0))=INDEX(Parsed!$H$2:$H$190,(MATCH(B69,Data!$B$2:$B$22,0)-1)*9+MATCH("Politics",Parsed!$C$2:$C$10,0)),INDEX(Parsed!$M$2:$M$190,(MATCH(A69,Data!$B$2:$B$22,0)-1)*9+MATCH("Politics",Parsed!$C$2:$C$10,0))*INDEX(Parsed!$I$2:$I$190,(MATCH(B69,Data!$B$2:$B$22,0)-1)*9+MATCH("Politics",Parsed!$C$2:$C$10,0)),0)+IF(INDEX(Parsed!$K$2:$K$190,(MATCH(A69,Data!$B$2:$B$22,0)-1)*9+MATCH("Marriage",Parsed!$C$2:$C$10,0))=INDEX(Parsed!$H$2:$H$190,(MATCH(B69,Data!$B$2:$B$22,0)-1)*9+MATCH("Marriage",Parsed!$C$2:$C$10,0)),INDEX(Parsed!$M$2:$M$190,(MATCH(A69,Data!$B$2:$B$22,0)-1)*9+MATCH("Marriage",Parsed!$C$2:$C$10,0))*INDEX(Parsed!$I$2:$I$190,(MATCH(B69,Data!$B$2:$B$22,0)-1)*9+MATCH("Marriage",Parsed!$C$2:$C$10,0)),0)+IF(INDEX(Parsed!$K$2:$K$190,(MATCH(A69,Data!$B$2:$B$22,0)-1)*9+MATCH("Children",Parsed!$C$2:$C$10,0))=INDEX(Parsed!$H$2:$H$190,(MATCH(B69,Data!$B$2:$B$22,0)-1)*9+MATCH("Children",Parsed!$C$2:$C$10,0)),INDEX(Parsed!$M$2:$M$190,(MATCH(A69,Data!$B$2:$B$22,0)-1)*9+MATCH("Children",Parsed!$C$2:$C$10,0))*INDEX(Parsed!$I$2:$I$190,(MATCH(B69,Data!$B$2:$B$22,0)-1)*9+MATCH("Children",Parsed!$C$2:$C$10,0)),0)+IF(INDEX(Parsed!$K$2:$K$190,(MATCH(A69,Data!$B$2:$B$22,0)-1)*9+MATCH("Ethicity",Parsed!$C$2:$C$10,0))=INDEX(Parsed!$H$2:$H$190,(MATCH(B69,Data!$B$2:$B$22,0)-1)*9+MATCH("Ethicity",Parsed!$C$2:$C$10,0)),INDEX(Parsed!$M$2:$M$190,(MATCH(A69,Data!$B$2:$B$22,0)-1)*9+MATCH("Ethicity",Parsed!$C$2:$C$10,0))*INDEX(Parsed!$I$2:$I$190,(MATCH(B69,Data!$B$2:$B$22,0)-1)*9+MATCH("Ethicity",Parsed!$C$2:$C$10,0)),0)+IF(INDEX(Parsed!$K$2:$K$190,(MATCH(A69,Data!$B$2:$B$22,0)-1)*9+MATCH("Past",Parsed!$C$2:$C$10,0))=INDEX(Parsed!$H$2:$H$190,(MATCH(B69,Data!$B$2:$B$22,0)-1)*9+MATCH("Past",Parsed!$C$2:$C$10,0)),INDEX(Parsed!$M$2:$M$190,(MATCH(A69,Data!$B$2:$B$22,0)-1)*9+MATCH("Past",Parsed!$C$2:$C$10,0))*INDEX(Parsed!$I$2:$I$190,(MATCH(B69,Data!$B$2:$B$22,0)-1)*9+MATCH("Past",Parsed!$C$2:$C$10,0)),0)+IF(INDEX(Parsed!$K$2:$K$190,(MATCH(A69,Data!$B$2:$B$22,0)-1)*9+MATCH("D/S",Parsed!$C$2:$C$10,0))=INDEX(Parsed!$H$2:$H$190,(MATCH(B69,Data!$B$2:$B$22,0)-1)*9+MATCH("D/S",Parsed!$C$2:$C$10,0)),INDEX(Parsed!$M$2:$M$190,(MATCH(A69,Data!$B$2:$B$22,0)-1)*9+MATCH("D/S",Parsed!$C$2:$C$10,0))*INDEX(Parsed!$I$2:$I$190,(MATCH(B69,Data!$B$2:$B$22,0)-1)*9+MATCH("D/S",Parsed!$C$2:$C$10,0)),0)+IF(INDEX(Parsed!$K$2:$K$190,(MATCH(A69,Data!$B$2:$B$22,0)-1)*9+MATCH("True/kind",Parsed!$C$2:$C$10,0))=INDEX(Parsed!$H$2:$H$190,(MATCH(B69,Data!$B$2:$B$22,0)-1)*9+MATCH("True/kind",Parsed!$C$2:$C$10,0)),INDEX(Parsed!$M$2:$M$190,(MATCH(A69,Data!$B$2:$B$22,0)-1)*9+MATCH("True/kind",Parsed!$C$2:$C$10,0))*INDEX(Parsed!$I$2:$I$190,(MATCH(B69,Data!$B$2:$B$22,0)-1)*9+MATCH("True/kind",Parsed!$C$2:$C$10,0)),0)+IF(INDEX(Parsed!$K$2:$K$190,(MATCH(A69,Data!$B$2:$B$22,0)-1)*9+MATCH("Animal",Parsed!$C$2:$C$10,0))=INDEX(Parsed!$H$2:$H$190,(MATCH(B69,Data!$B$2:$B$22,0)-1)*9+MATCH("Animal",Parsed!$C$2:$C$10,0)),INDEX(Parsed!$M$2:$M$190,(MATCH(A69,Data!$B$2:$B$22,0)-1)*9+MATCH("Animal",Parsed!$C$2:$C$10,0))*INDEX(Parsed!$I$2:$I$190,(MATCH(B69,Data!$B$2:$B$22,0)-1)*9+MATCH("Animal",Parsed!$C$2:$C$10,0)),0),0)</x:f>
        <x:v>25</x:v>
      </x:c>
      <x:c r="E69" s="11" t="n">
        <x:f>SQRT(C69*D69)</x:f>
        <x:v>30.103986446980738</x:v>
      </x:c>
    </x:row>
    <x:row r="70">
      <x:c r="A70" t="str">
        <x:v>will</x:v>
      </x:c>
      <x:c r="B70" t="str">
        <x:v>issabel</x:v>
      </x:c>
      <x:c r="C70" s="11" t="n">
        <x:f>IFERROR(IF(INDEX(Parsed!$K$2:$K$190,(MATCH(B70,Data!$B$2:$B$22,0)-1)*9+MATCH("God",Parsed!$C$2:$C$10,0))=INDEX(Parsed!$H$2:$H$190,(MATCH(A70,Data!$B$2:$B$22,0)-1)*9+MATCH("God",Parsed!$C$2:$C$10,0)),INDEX(Parsed!$M$2:$M$190,(MATCH(B70,Data!$B$2:$B$22,0)-1)*9+MATCH("God",Parsed!$C$2:$C$10,0))*INDEX(Parsed!$I$2:$I$190,(MATCH(A70,Data!$B$2:$B$22,0)-1)*9+MATCH("God",Parsed!$C$2:$C$10,0)),0)+IF(INDEX(Parsed!$K$2:$K$190,(MATCH(B70,Data!$B$2:$B$22,0)-1)*9+MATCH("Politics",Parsed!$C$2:$C$10,0))=INDEX(Parsed!$H$2:$H$190,(MATCH(A70,Data!$B$2:$B$22,0)-1)*9+MATCH("Politics",Parsed!$C$2:$C$10,0)),INDEX(Parsed!$M$2:$M$190,(MATCH(B70,Data!$B$2:$B$22,0)-1)*9+MATCH("Politics",Parsed!$C$2:$C$10,0))*INDEX(Parsed!$I$2:$I$190,(MATCH(A70,Data!$B$2:$B$22,0)-1)*9+MATCH("Politics",Parsed!$C$2:$C$10,0)),0)+IF(INDEX(Parsed!$K$2:$K$190,(MATCH(B70,Data!$B$2:$B$22,0)-1)*9+MATCH("Marriage",Parsed!$C$2:$C$10,0))=INDEX(Parsed!$H$2:$H$190,(MATCH(A70,Data!$B$2:$B$22,0)-1)*9+MATCH("Marriage",Parsed!$C$2:$C$10,0)),INDEX(Parsed!$M$2:$M$190,(MATCH(B70,Data!$B$2:$B$22,0)-1)*9+MATCH("Marriage",Parsed!$C$2:$C$10,0))*INDEX(Parsed!$I$2:$I$190,(MATCH(A70,Data!$B$2:$B$22,0)-1)*9+MATCH("Marriage",Parsed!$C$2:$C$10,0)),0)+IF(INDEX(Parsed!$K$2:$K$190,(MATCH(B70,Data!$B$2:$B$22,0)-1)*9+MATCH("Children",Parsed!$C$2:$C$10,0))=INDEX(Parsed!$H$2:$H$190,(MATCH(A70,Data!$B$2:$B$22,0)-1)*9+MATCH("Children",Parsed!$C$2:$C$10,0)),INDEX(Parsed!$M$2:$M$190,(MATCH(B70,Data!$B$2:$B$22,0)-1)*9+MATCH("Children",Parsed!$C$2:$C$10,0))*INDEX(Parsed!$I$2:$I$190,(MATCH(A70,Data!$B$2:$B$22,0)-1)*9+MATCH("Children",Parsed!$C$2:$C$10,0)),0)+IF(INDEX(Parsed!$K$2:$K$190,(MATCH(B70,Data!$B$2:$B$22,0)-1)*9+MATCH("Ethicity",Parsed!$C$2:$C$10,0))=INDEX(Parsed!$H$2:$H$190,(MATCH(A70,Data!$B$2:$B$22,0)-1)*9+MATCH("Ethicity",Parsed!$C$2:$C$10,0)),INDEX(Parsed!$M$2:$M$190,(MATCH(B70,Data!$B$2:$B$22,0)-1)*9+MATCH("Ethicity",Parsed!$C$2:$C$10,0))*INDEX(Parsed!$I$2:$I$190,(MATCH(A70,Data!$B$2:$B$22,0)-1)*9+MATCH("Ethicity",Parsed!$C$2:$C$10,0)),0)+IF(INDEX(Parsed!$K$2:$K$190,(MATCH(B70,Data!$B$2:$B$22,0)-1)*9+MATCH("Past",Parsed!$C$2:$C$10,0))=INDEX(Parsed!$H$2:$H$190,(MATCH(A70,Data!$B$2:$B$22,0)-1)*9+MATCH("Past",Parsed!$C$2:$C$10,0)),INDEX(Parsed!$M$2:$M$190,(MATCH(B70,Data!$B$2:$B$22,0)-1)*9+MATCH("Past",Parsed!$C$2:$C$10,0))*INDEX(Parsed!$I$2:$I$190,(MATCH(A70,Data!$B$2:$B$22,0)-1)*9+MATCH("Past",Parsed!$C$2:$C$10,0)),0)+IF(INDEX(Parsed!$K$2:$K$190,(MATCH(B70,Data!$B$2:$B$22,0)-1)*9+MATCH("D/S",Parsed!$C$2:$C$10,0))=INDEX(Parsed!$H$2:$H$190,(MATCH(A70,Data!$B$2:$B$22,0)-1)*9+MATCH("D/S",Parsed!$C$2:$C$10,0)),INDEX(Parsed!$M$2:$M$190,(MATCH(B70,Data!$B$2:$B$22,0)-1)*9+MATCH("D/S",Parsed!$C$2:$C$10,0))*INDEX(Parsed!$I$2:$I$190,(MATCH(A70,Data!$B$2:$B$22,0)-1)*9+MATCH("D/S",Parsed!$C$2:$C$10,0)),0)+IF(INDEX(Parsed!$K$2:$K$190,(MATCH(B70,Data!$B$2:$B$22,0)-1)*9+MATCH("True/kind",Parsed!$C$2:$C$10,0))=INDEX(Parsed!$H$2:$H$190,(MATCH(A70,Data!$B$2:$B$22,0)-1)*9+MATCH("True/kind",Parsed!$C$2:$C$10,0)),INDEX(Parsed!$M$2:$M$190,(MATCH(B70,Data!$B$2:$B$22,0)-1)*9+MATCH("True/kind",Parsed!$C$2:$C$10,0))*INDEX(Parsed!$I$2:$I$190,(MATCH(A70,Data!$B$2:$B$22,0)-1)*9+MATCH("True/kind",Parsed!$C$2:$C$10,0)),0)+IF(INDEX(Parsed!$K$2:$K$190,(MATCH(B70,Data!$B$2:$B$22,0)-1)*9+MATCH("Animal",Parsed!$C$2:$C$10,0))=INDEX(Parsed!$H$2:$H$190,(MATCH(A70,Data!$B$2:$B$22,0)-1)*9+MATCH("Animal",Parsed!$C$2:$C$10,0)),INDEX(Parsed!$M$2:$M$190,(MATCH(B70,Data!$B$2:$B$22,0)-1)*9+MATCH("Animal",Parsed!$C$2:$C$10,0))*INDEX(Parsed!$I$2:$I$190,(MATCH(A70,Data!$B$2:$B$22,0)-1)*9+MATCH("Animal",Parsed!$C$2:$C$10,0)),0),0)</x:f>
        <x:v>23.75</x:v>
      </x:c>
      <x:c r="D70" s="11" t="n">
        <x:f>IFERROR(IF(INDEX(Parsed!$K$2:$K$190,(MATCH(A70,Data!$B$2:$B$22,0)-1)*9+MATCH("God",Parsed!$C$2:$C$10,0))=INDEX(Parsed!$H$2:$H$190,(MATCH(B70,Data!$B$2:$B$22,0)-1)*9+MATCH("God",Parsed!$C$2:$C$10,0)),INDEX(Parsed!$M$2:$M$190,(MATCH(A70,Data!$B$2:$B$22,0)-1)*9+MATCH("God",Parsed!$C$2:$C$10,0))*INDEX(Parsed!$I$2:$I$190,(MATCH(B70,Data!$B$2:$B$22,0)-1)*9+MATCH("God",Parsed!$C$2:$C$10,0)),0)+IF(INDEX(Parsed!$K$2:$K$190,(MATCH(A70,Data!$B$2:$B$22,0)-1)*9+MATCH("Politics",Parsed!$C$2:$C$10,0))=INDEX(Parsed!$H$2:$H$190,(MATCH(B70,Data!$B$2:$B$22,0)-1)*9+MATCH("Politics",Parsed!$C$2:$C$10,0)),INDEX(Parsed!$M$2:$M$190,(MATCH(A70,Data!$B$2:$B$22,0)-1)*9+MATCH("Politics",Parsed!$C$2:$C$10,0))*INDEX(Parsed!$I$2:$I$190,(MATCH(B70,Data!$B$2:$B$22,0)-1)*9+MATCH("Politics",Parsed!$C$2:$C$10,0)),0)+IF(INDEX(Parsed!$K$2:$K$190,(MATCH(A70,Data!$B$2:$B$22,0)-1)*9+MATCH("Marriage",Parsed!$C$2:$C$10,0))=INDEX(Parsed!$H$2:$H$190,(MATCH(B70,Data!$B$2:$B$22,0)-1)*9+MATCH("Marriage",Parsed!$C$2:$C$10,0)),INDEX(Parsed!$M$2:$M$190,(MATCH(A70,Data!$B$2:$B$22,0)-1)*9+MATCH("Marriage",Parsed!$C$2:$C$10,0))*INDEX(Parsed!$I$2:$I$190,(MATCH(B70,Data!$B$2:$B$22,0)-1)*9+MATCH("Marriage",Parsed!$C$2:$C$10,0)),0)+IF(INDEX(Parsed!$K$2:$K$190,(MATCH(A70,Data!$B$2:$B$22,0)-1)*9+MATCH("Children",Parsed!$C$2:$C$10,0))=INDEX(Parsed!$H$2:$H$190,(MATCH(B70,Data!$B$2:$B$22,0)-1)*9+MATCH("Children",Parsed!$C$2:$C$10,0)),INDEX(Parsed!$M$2:$M$190,(MATCH(A70,Data!$B$2:$B$22,0)-1)*9+MATCH("Children",Parsed!$C$2:$C$10,0))*INDEX(Parsed!$I$2:$I$190,(MATCH(B70,Data!$B$2:$B$22,0)-1)*9+MATCH("Children",Parsed!$C$2:$C$10,0)),0)+IF(INDEX(Parsed!$K$2:$K$190,(MATCH(A70,Data!$B$2:$B$22,0)-1)*9+MATCH("Ethicity",Parsed!$C$2:$C$10,0))=INDEX(Parsed!$H$2:$H$190,(MATCH(B70,Data!$B$2:$B$22,0)-1)*9+MATCH("Ethicity",Parsed!$C$2:$C$10,0)),INDEX(Parsed!$M$2:$M$190,(MATCH(A70,Data!$B$2:$B$22,0)-1)*9+MATCH("Ethicity",Parsed!$C$2:$C$10,0))*INDEX(Parsed!$I$2:$I$190,(MATCH(B70,Data!$B$2:$B$22,0)-1)*9+MATCH("Ethicity",Parsed!$C$2:$C$10,0)),0)+IF(INDEX(Parsed!$K$2:$K$190,(MATCH(A70,Data!$B$2:$B$22,0)-1)*9+MATCH("Past",Parsed!$C$2:$C$10,0))=INDEX(Parsed!$H$2:$H$190,(MATCH(B70,Data!$B$2:$B$22,0)-1)*9+MATCH("Past",Parsed!$C$2:$C$10,0)),INDEX(Parsed!$M$2:$M$190,(MATCH(A70,Data!$B$2:$B$22,0)-1)*9+MATCH("Past",Parsed!$C$2:$C$10,0))*INDEX(Parsed!$I$2:$I$190,(MATCH(B70,Data!$B$2:$B$22,0)-1)*9+MATCH("Past",Parsed!$C$2:$C$10,0)),0)+IF(INDEX(Parsed!$K$2:$K$190,(MATCH(A70,Data!$B$2:$B$22,0)-1)*9+MATCH("D/S",Parsed!$C$2:$C$10,0))=INDEX(Parsed!$H$2:$H$190,(MATCH(B70,Data!$B$2:$B$22,0)-1)*9+MATCH("D/S",Parsed!$C$2:$C$10,0)),INDEX(Parsed!$M$2:$M$190,(MATCH(A70,Data!$B$2:$B$22,0)-1)*9+MATCH("D/S",Parsed!$C$2:$C$10,0))*INDEX(Parsed!$I$2:$I$190,(MATCH(B70,Data!$B$2:$B$22,0)-1)*9+MATCH("D/S",Parsed!$C$2:$C$10,0)),0)+IF(INDEX(Parsed!$K$2:$K$190,(MATCH(A70,Data!$B$2:$B$22,0)-1)*9+MATCH("True/kind",Parsed!$C$2:$C$10,0))=INDEX(Parsed!$H$2:$H$190,(MATCH(B70,Data!$B$2:$B$22,0)-1)*9+MATCH("True/kind",Parsed!$C$2:$C$10,0)),INDEX(Parsed!$M$2:$M$190,(MATCH(A70,Data!$B$2:$B$22,0)-1)*9+MATCH("True/kind",Parsed!$C$2:$C$10,0))*INDEX(Parsed!$I$2:$I$190,(MATCH(B70,Data!$B$2:$B$22,0)-1)*9+MATCH("True/kind",Parsed!$C$2:$C$10,0)),0)+IF(INDEX(Parsed!$K$2:$K$190,(MATCH(A70,Data!$B$2:$B$22,0)-1)*9+MATCH("Animal",Parsed!$C$2:$C$10,0))=INDEX(Parsed!$H$2:$H$190,(MATCH(B70,Data!$B$2:$B$22,0)-1)*9+MATCH("Animal",Parsed!$C$2:$C$10,0)),INDEX(Parsed!$M$2:$M$190,(MATCH(A70,Data!$B$2:$B$22,0)-1)*9+MATCH("Animal",Parsed!$C$2:$C$10,0))*INDEX(Parsed!$I$2:$I$190,(MATCH(B70,Data!$B$2:$B$22,0)-1)*9+MATCH("Animal",Parsed!$C$2:$C$10,0)),0),0)</x:f>
        <x:v>76.25</x:v>
      </x:c>
      <x:c r="E70" s="11" t="n">
        <x:f>SQRT(C70*D70)</x:f>
        <x:v>42.555111326373</x:v>
      </x:c>
    </x:row>
    <x:row r="71">
      <x:c r="A71" t="str">
        <x:v>will</x:v>
      </x:c>
      <x:c r="B71" t="str">
        <x:v>lydia</x:v>
      </x:c>
      <x:c r="C71" s="11" t="n">
        <x:f>IFERROR(IF(INDEX(Parsed!$K$2:$K$190,(MATCH(B71,Data!$B$2:$B$22,0)-1)*9+MATCH("God",Parsed!$C$2:$C$10,0))=INDEX(Parsed!$H$2:$H$190,(MATCH(A71,Data!$B$2:$B$22,0)-1)*9+MATCH("God",Parsed!$C$2:$C$10,0)),INDEX(Parsed!$M$2:$M$190,(MATCH(B71,Data!$B$2:$B$22,0)-1)*9+MATCH("God",Parsed!$C$2:$C$10,0))*INDEX(Parsed!$I$2:$I$190,(MATCH(A71,Data!$B$2:$B$22,0)-1)*9+MATCH("God",Parsed!$C$2:$C$10,0)),0)+IF(INDEX(Parsed!$K$2:$K$190,(MATCH(B71,Data!$B$2:$B$22,0)-1)*9+MATCH("Politics",Parsed!$C$2:$C$10,0))=INDEX(Parsed!$H$2:$H$190,(MATCH(A71,Data!$B$2:$B$22,0)-1)*9+MATCH("Politics",Parsed!$C$2:$C$10,0)),INDEX(Parsed!$M$2:$M$190,(MATCH(B71,Data!$B$2:$B$22,0)-1)*9+MATCH("Politics",Parsed!$C$2:$C$10,0))*INDEX(Parsed!$I$2:$I$190,(MATCH(A71,Data!$B$2:$B$22,0)-1)*9+MATCH("Politics",Parsed!$C$2:$C$10,0)),0)+IF(INDEX(Parsed!$K$2:$K$190,(MATCH(B71,Data!$B$2:$B$22,0)-1)*9+MATCH("Marriage",Parsed!$C$2:$C$10,0))=INDEX(Parsed!$H$2:$H$190,(MATCH(A71,Data!$B$2:$B$22,0)-1)*9+MATCH("Marriage",Parsed!$C$2:$C$10,0)),INDEX(Parsed!$M$2:$M$190,(MATCH(B71,Data!$B$2:$B$22,0)-1)*9+MATCH("Marriage",Parsed!$C$2:$C$10,0))*INDEX(Parsed!$I$2:$I$190,(MATCH(A71,Data!$B$2:$B$22,0)-1)*9+MATCH("Marriage",Parsed!$C$2:$C$10,0)),0)+IF(INDEX(Parsed!$K$2:$K$190,(MATCH(B71,Data!$B$2:$B$22,0)-1)*9+MATCH("Children",Parsed!$C$2:$C$10,0))=INDEX(Parsed!$H$2:$H$190,(MATCH(A71,Data!$B$2:$B$22,0)-1)*9+MATCH("Children",Parsed!$C$2:$C$10,0)),INDEX(Parsed!$M$2:$M$190,(MATCH(B71,Data!$B$2:$B$22,0)-1)*9+MATCH("Children",Parsed!$C$2:$C$10,0))*INDEX(Parsed!$I$2:$I$190,(MATCH(A71,Data!$B$2:$B$22,0)-1)*9+MATCH("Children",Parsed!$C$2:$C$10,0)),0)+IF(INDEX(Parsed!$K$2:$K$190,(MATCH(B71,Data!$B$2:$B$22,0)-1)*9+MATCH("Ethicity",Parsed!$C$2:$C$10,0))=INDEX(Parsed!$H$2:$H$190,(MATCH(A71,Data!$B$2:$B$22,0)-1)*9+MATCH("Ethicity",Parsed!$C$2:$C$10,0)),INDEX(Parsed!$M$2:$M$190,(MATCH(B71,Data!$B$2:$B$22,0)-1)*9+MATCH("Ethicity",Parsed!$C$2:$C$10,0))*INDEX(Parsed!$I$2:$I$190,(MATCH(A71,Data!$B$2:$B$22,0)-1)*9+MATCH("Ethicity",Parsed!$C$2:$C$10,0)),0)+IF(INDEX(Parsed!$K$2:$K$190,(MATCH(B71,Data!$B$2:$B$22,0)-1)*9+MATCH("Past",Parsed!$C$2:$C$10,0))=INDEX(Parsed!$H$2:$H$190,(MATCH(A71,Data!$B$2:$B$22,0)-1)*9+MATCH("Past",Parsed!$C$2:$C$10,0)),INDEX(Parsed!$M$2:$M$190,(MATCH(B71,Data!$B$2:$B$22,0)-1)*9+MATCH("Past",Parsed!$C$2:$C$10,0))*INDEX(Parsed!$I$2:$I$190,(MATCH(A71,Data!$B$2:$B$22,0)-1)*9+MATCH("Past",Parsed!$C$2:$C$10,0)),0)+IF(INDEX(Parsed!$K$2:$K$190,(MATCH(B71,Data!$B$2:$B$22,0)-1)*9+MATCH("D/S",Parsed!$C$2:$C$10,0))=INDEX(Parsed!$H$2:$H$190,(MATCH(A71,Data!$B$2:$B$22,0)-1)*9+MATCH("D/S",Parsed!$C$2:$C$10,0)),INDEX(Parsed!$M$2:$M$190,(MATCH(B71,Data!$B$2:$B$22,0)-1)*9+MATCH("D/S",Parsed!$C$2:$C$10,0))*INDEX(Parsed!$I$2:$I$190,(MATCH(A71,Data!$B$2:$B$22,0)-1)*9+MATCH("D/S",Parsed!$C$2:$C$10,0)),0)+IF(INDEX(Parsed!$K$2:$K$190,(MATCH(B71,Data!$B$2:$B$22,0)-1)*9+MATCH("True/kind",Parsed!$C$2:$C$10,0))=INDEX(Parsed!$H$2:$H$190,(MATCH(A71,Data!$B$2:$B$22,0)-1)*9+MATCH("True/kind",Parsed!$C$2:$C$10,0)),INDEX(Parsed!$M$2:$M$190,(MATCH(B71,Data!$B$2:$B$22,0)-1)*9+MATCH("True/kind",Parsed!$C$2:$C$10,0))*INDEX(Parsed!$I$2:$I$190,(MATCH(A71,Data!$B$2:$B$22,0)-1)*9+MATCH("True/kind",Parsed!$C$2:$C$10,0)),0)+IF(INDEX(Parsed!$K$2:$K$190,(MATCH(B71,Data!$B$2:$B$22,0)-1)*9+MATCH("Animal",Parsed!$C$2:$C$10,0))=INDEX(Parsed!$H$2:$H$190,(MATCH(A71,Data!$B$2:$B$22,0)-1)*9+MATCH("Animal",Parsed!$C$2:$C$10,0)),INDEX(Parsed!$M$2:$M$190,(MATCH(B71,Data!$B$2:$B$22,0)-1)*9+MATCH("Animal",Parsed!$C$2:$C$10,0))*INDEX(Parsed!$I$2:$I$190,(MATCH(A71,Data!$B$2:$B$22,0)-1)*9+MATCH("Animal",Parsed!$C$2:$C$10,0)),0),0)</x:f>
        <x:v>72.5</x:v>
      </x:c>
      <x:c r="D71" s="11" t="n">
        <x:f>IFERROR(IF(INDEX(Parsed!$K$2:$K$190,(MATCH(A71,Data!$B$2:$B$22,0)-1)*9+MATCH("God",Parsed!$C$2:$C$10,0))=INDEX(Parsed!$H$2:$H$190,(MATCH(B71,Data!$B$2:$B$22,0)-1)*9+MATCH("God",Parsed!$C$2:$C$10,0)),INDEX(Parsed!$M$2:$M$190,(MATCH(A71,Data!$B$2:$B$22,0)-1)*9+MATCH("God",Parsed!$C$2:$C$10,0))*INDEX(Parsed!$I$2:$I$190,(MATCH(B71,Data!$B$2:$B$22,0)-1)*9+MATCH("God",Parsed!$C$2:$C$10,0)),0)+IF(INDEX(Parsed!$K$2:$K$190,(MATCH(A71,Data!$B$2:$B$22,0)-1)*9+MATCH("Politics",Parsed!$C$2:$C$10,0))=INDEX(Parsed!$H$2:$H$190,(MATCH(B71,Data!$B$2:$B$22,0)-1)*9+MATCH("Politics",Parsed!$C$2:$C$10,0)),INDEX(Parsed!$M$2:$M$190,(MATCH(A71,Data!$B$2:$B$22,0)-1)*9+MATCH("Politics",Parsed!$C$2:$C$10,0))*INDEX(Parsed!$I$2:$I$190,(MATCH(B71,Data!$B$2:$B$22,0)-1)*9+MATCH("Politics",Parsed!$C$2:$C$10,0)),0)+IF(INDEX(Parsed!$K$2:$K$190,(MATCH(A71,Data!$B$2:$B$22,0)-1)*9+MATCH("Marriage",Parsed!$C$2:$C$10,0))=INDEX(Parsed!$H$2:$H$190,(MATCH(B71,Data!$B$2:$B$22,0)-1)*9+MATCH("Marriage",Parsed!$C$2:$C$10,0)),INDEX(Parsed!$M$2:$M$190,(MATCH(A71,Data!$B$2:$B$22,0)-1)*9+MATCH("Marriage",Parsed!$C$2:$C$10,0))*INDEX(Parsed!$I$2:$I$190,(MATCH(B71,Data!$B$2:$B$22,0)-1)*9+MATCH("Marriage",Parsed!$C$2:$C$10,0)),0)+IF(INDEX(Parsed!$K$2:$K$190,(MATCH(A71,Data!$B$2:$B$22,0)-1)*9+MATCH("Children",Parsed!$C$2:$C$10,0))=INDEX(Parsed!$H$2:$H$190,(MATCH(B71,Data!$B$2:$B$22,0)-1)*9+MATCH("Children",Parsed!$C$2:$C$10,0)),INDEX(Parsed!$M$2:$M$190,(MATCH(A71,Data!$B$2:$B$22,0)-1)*9+MATCH("Children",Parsed!$C$2:$C$10,0))*INDEX(Parsed!$I$2:$I$190,(MATCH(B71,Data!$B$2:$B$22,0)-1)*9+MATCH("Children",Parsed!$C$2:$C$10,0)),0)+IF(INDEX(Parsed!$K$2:$K$190,(MATCH(A71,Data!$B$2:$B$22,0)-1)*9+MATCH("Ethicity",Parsed!$C$2:$C$10,0))=INDEX(Parsed!$H$2:$H$190,(MATCH(B71,Data!$B$2:$B$22,0)-1)*9+MATCH("Ethicity",Parsed!$C$2:$C$10,0)),INDEX(Parsed!$M$2:$M$190,(MATCH(A71,Data!$B$2:$B$22,0)-1)*9+MATCH("Ethicity",Parsed!$C$2:$C$10,0))*INDEX(Parsed!$I$2:$I$190,(MATCH(B71,Data!$B$2:$B$22,0)-1)*9+MATCH("Ethicity",Parsed!$C$2:$C$10,0)),0)+IF(INDEX(Parsed!$K$2:$K$190,(MATCH(A71,Data!$B$2:$B$22,0)-1)*9+MATCH("Past",Parsed!$C$2:$C$10,0))=INDEX(Parsed!$H$2:$H$190,(MATCH(B71,Data!$B$2:$B$22,0)-1)*9+MATCH("Past",Parsed!$C$2:$C$10,0)),INDEX(Parsed!$M$2:$M$190,(MATCH(A71,Data!$B$2:$B$22,0)-1)*9+MATCH("Past",Parsed!$C$2:$C$10,0))*INDEX(Parsed!$I$2:$I$190,(MATCH(B71,Data!$B$2:$B$22,0)-1)*9+MATCH("Past",Parsed!$C$2:$C$10,0)),0)+IF(INDEX(Parsed!$K$2:$K$190,(MATCH(A71,Data!$B$2:$B$22,0)-1)*9+MATCH("D/S",Parsed!$C$2:$C$10,0))=INDEX(Parsed!$H$2:$H$190,(MATCH(B71,Data!$B$2:$B$22,0)-1)*9+MATCH("D/S",Parsed!$C$2:$C$10,0)),INDEX(Parsed!$M$2:$M$190,(MATCH(A71,Data!$B$2:$B$22,0)-1)*9+MATCH("D/S",Parsed!$C$2:$C$10,0))*INDEX(Parsed!$I$2:$I$190,(MATCH(B71,Data!$B$2:$B$22,0)-1)*9+MATCH("D/S",Parsed!$C$2:$C$10,0)),0)+IF(INDEX(Parsed!$K$2:$K$190,(MATCH(A71,Data!$B$2:$B$22,0)-1)*9+MATCH("True/kind",Parsed!$C$2:$C$10,0))=INDEX(Parsed!$H$2:$H$190,(MATCH(B71,Data!$B$2:$B$22,0)-1)*9+MATCH("True/kind",Parsed!$C$2:$C$10,0)),INDEX(Parsed!$M$2:$M$190,(MATCH(A71,Data!$B$2:$B$22,0)-1)*9+MATCH("True/kind",Parsed!$C$2:$C$10,0))*INDEX(Parsed!$I$2:$I$190,(MATCH(B71,Data!$B$2:$B$22,0)-1)*9+MATCH("True/kind",Parsed!$C$2:$C$10,0)),0)+IF(INDEX(Parsed!$K$2:$K$190,(MATCH(A71,Data!$B$2:$B$22,0)-1)*9+MATCH("Animal",Parsed!$C$2:$C$10,0))=INDEX(Parsed!$H$2:$H$190,(MATCH(B71,Data!$B$2:$B$22,0)-1)*9+MATCH("Animal",Parsed!$C$2:$C$10,0)),INDEX(Parsed!$M$2:$M$190,(MATCH(A71,Data!$B$2:$B$22,0)-1)*9+MATCH("Animal",Parsed!$C$2:$C$10,0))*INDEX(Parsed!$I$2:$I$190,(MATCH(B71,Data!$B$2:$B$22,0)-1)*9+MATCH("Animal",Parsed!$C$2:$C$10,0)),0),0)</x:f>
        <x:v>72.5</x:v>
      </x:c>
      <x:c r="E71" s="11" t="n">
        <x:f>SQRT(C71*D71)</x:f>
        <x:v>72.5</x:v>
      </x:c>
    </x:row>
    <x:row r="72">
      <x:c r="A72" t="str">
        <x:v>jt</x:v>
      </x:c>
      <x:c r="B72" t="str">
        <x:v>jasmine</x:v>
      </x:c>
      <x:c r="C72" s="11" t="n">
        <x:f>IFERROR(IF(INDEX(Parsed!$K$2:$K$190,(MATCH(B72,Data!$B$2:$B$22,0)-1)*9+MATCH("God",Parsed!$C$2:$C$10,0))=INDEX(Parsed!$H$2:$H$190,(MATCH(A72,Data!$B$2:$B$22,0)-1)*9+MATCH("God",Parsed!$C$2:$C$10,0)),INDEX(Parsed!$M$2:$M$190,(MATCH(B72,Data!$B$2:$B$22,0)-1)*9+MATCH("God",Parsed!$C$2:$C$10,0))*INDEX(Parsed!$I$2:$I$190,(MATCH(A72,Data!$B$2:$B$22,0)-1)*9+MATCH("God",Parsed!$C$2:$C$10,0)),0)+IF(INDEX(Parsed!$K$2:$K$190,(MATCH(B72,Data!$B$2:$B$22,0)-1)*9+MATCH("Politics",Parsed!$C$2:$C$10,0))=INDEX(Parsed!$H$2:$H$190,(MATCH(A72,Data!$B$2:$B$22,0)-1)*9+MATCH("Politics",Parsed!$C$2:$C$10,0)),INDEX(Parsed!$M$2:$M$190,(MATCH(B72,Data!$B$2:$B$22,0)-1)*9+MATCH("Politics",Parsed!$C$2:$C$10,0))*INDEX(Parsed!$I$2:$I$190,(MATCH(A72,Data!$B$2:$B$22,0)-1)*9+MATCH("Politics",Parsed!$C$2:$C$10,0)),0)+IF(INDEX(Parsed!$K$2:$K$190,(MATCH(B72,Data!$B$2:$B$22,0)-1)*9+MATCH("Marriage",Parsed!$C$2:$C$10,0))=INDEX(Parsed!$H$2:$H$190,(MATCH(A72,Data!$B$2:$B$22,0)-1)*9+MATCH("Marriage",Parsed!$C$2:$C$10,0)),INDEX(Parsed!$M$2:$M$190,(MATCH(B72,Data!$B$2:$B$22,0)-1)*9+MATCH("Marriage",Parsed!$C$2:$C$10,0))*INDEX(Parsed!$I$2:$I$190,(MATCH(A72,Data!$B$2:$B$22,0)-1)*9+MATCH("Marriage",Parsed!$C$2:$C$10,0)),0)+IF(INDEX(Parsed!$K$2:$K$190,(MATCH(B72,Data!$B$2:$B$22,0)-1)*9+MATCH("Children",Parsed!$C$2:$C$10,0))=INDEX(Parsed!$H$2:$H$190,(MATCH(A72,Data!$B$2:$B$22,0)-1)*9+MATCH("Children",Parsed!$C$2:$C$10,0)),INDEX(Parsed!$M$2:$M$190,(MATCH(B72,Data!$B$2:$B$22,0)-1)*9+MATCH("Children",Parsed!$C$2:$C$10,0))*INDEX(Parsed!$I$2:$I$190,(MATCH(A72,Data!$B$2:$B$22,0)-1)*9+MATCH("Children",Parsed!$C$2:$C$10,0)),0)+IF(INDEX(Parsed!$K$2:$K$190,(MATCH(B72,Data!$B$2:$B$22,0)-1)*9+MATCH("Ethicity",Parsed!$C$2:$C$10,0))=INDEX(Parsed!$H$2:$H$190,(MATCH(A72,Data!$B$2:$B$22,0)-1)*9+MATCH("Ethicity",Parsed!$C$2:$C$10,0)),INDEX(Parsed!$M$2:$M$190,(MATCH(B72,Data!$B$2:$B$22,0)-1)*9+MATCH("Ethicity",Parsed!$C$2:$C$10,0))*INDEX(Parsed!$I$2:$I$190,(MATCH(A72,Data!$B$2:$B$22,0)-1)*9+MATCH("Ethicity",Parsed!$C$2:$C$10,0)),0)+IF(INDEX(Parsed!$K$2:$K$190,(MATCH(B72,Data!$B$2:$B$22,0)-1)*9+MATCH("Past",Parsed!$C$2:$C$10,0))=INDEX(Parsed!$H$2:$H$190,(MATCH(A72,Data!$B$2:$B$22,0)-1)*9+MATCH("Past",Parsed!$C$2:$C$10,0)),INDEX(Parsed!$M$2:$M$190,(MATCH(B72,Data!$B$2:$B$22,0)-1)*9+MATCH("Past",Parsed!$C$2:$C$10,0))*INDEX(Parsed!$I$2:$I$190,(MATCH(A72,Data!$B$2:$B$22,0)-1)*9+MATCH("Past",Parsed!$C$2:$C$10,0)),0)+IF(INDEX(Parsed!$K$2:$K$190,(MATCH(B72,Data!$B$2:$B$22,0)-1)*9+MATCH("D/S",Parsed!$C$2:$C$10,0))=INDEX(Parsed!$H$2:$H$190,(MATCH(A72,Data!$B$2:$B$22,0)-1)*9+MATCH("D/S",Parsed!$C$2:$C$10,0)),INDEX(Parsed!$M$2:$M$190,(MATCH(B72,Data!$B$2:$B$22,0)-1)*9+MATCH("D/S",Parsed!$C$2:$C$10,0))*INDEX(Parsed!$I$2:$I$190,(MATCH(A72,Data!$B$2:$B$22,0)-1)*9+MATCH("D/S",Parsed!$C$2:$C$10,0)),0)+IF(INDEX(Parsed!$K$2:$K$190,(MATCH(B72,Data!$B$2:$B$22,0)-1)*9+MATCH("True/kind",Parsed!$C$2:$C$10,0))=INDEX(Parsed!$H$2:$H$190,(MATCH(A72,Data!$B$2:$B$22,0)-1)*9+MATCH("True/kind",Parsed!$C$2:$C$10,0)),INDEX(Parsed!$M$2:$M$190,(MATCH(B72,Data!$B$2:$B$22,0)-1)*9+MATCH("True/kind",Parsed!$C$2:$C$10,0))*INDEX(Parsed!$I$2:$I$190,(MATCH(A72,Data!$B$2:$B$22,0)-1)*9+MATCH("True/kind",Parsed!$C$2:$C$10,0)),0)+IF(INDEX(Parsed!$K$2:$K$190,(MATCH(B72,Data!$B$2:$B$22,0)-1)*9+MATCH("Animal",Parsed!$C$2:$C$10,0))=INDEX(Parsed!$H$2:$H$190,(MATCH(A72,Data!$B$2:$B$22,0)-1)*9+MATCH("Animal",Parsed!$C$2:$C$10,0)),INDEX(Parsed!$M$2:$M$190,(MATCH(B72,Data!$B$2:$B$22,0)-1)*9+MATCH("Animal",Parsed!$C$2:$C$10,0))*INDEX(Parsed!$I$2:$I$190,(MATCH(A72,Data!$B$2:$B$22,0)-1)*9+MATCH("Animal",Parsed!$C$2:$C$10,0)),0),0)</x:f>
        <x:v>32.5</x:v>
      </x:c>
      <x:c r="D72" s="11" t="n">
        <x:f>IFERROR(IF(INDEX(Parsed!$K$2:$K$190,(MATCH(A72,Data!$B$2:$B$22,0)-1)*9+MATCH("God",Parsed!$C$2:$C$10,0))=INDEX(Parsed!$H$2:$H$190,(MATCH(B72,Data!$B$2:$B$22,0)-1)*9+MATCH("God",Parsed!$C$2:$C$10,0)),INDEX(Parsed!$M$2:$M$190,(MATCH(A72,Data!$B$2:$B$22,0)-1)*9+MATCH("God",Parsed!$C$2:$C$10,0))*INDEX(Parsed!$I$2:$I$190,(MATCH(B72,Data!$B$2:$B$22,0)-1)*9+MATCH("God",Parsed!$C$2:$C$10,0)),0)+IF(INDEX(Parsed!$K$2:$K$190,(MATCH(A72,Data!$B$2:$B$22,0)-1)*9+MATCH("Politics",Parsed!$C$2:$C$10,0))=INDEX(Parsed!$H$2:$H$190,(MATCH(B72,Data!$B$2:$B$22,0)-1)*9+MATCH("Politics",Parsed!$C$2:$C$10,0)),INDEX(Parsed!$M$2:$M$190,(MATCH(A72,Data!$B$2:$B$22,0)-1)*9+MATCH("Politics",Parsed!$C$2:$C$10,0))*INDEX(Parsed!$I$2:$I$190,(MATCH(B72,Data!$B$2:$B$22,0)-1)*9+MATCH("Politics",Parsed!$C$2:$C$10,0)),0)+IF(INDEX(Parsed!$K$2:$K$190,(MATCH(A72,Data!$B$2:$B$22,0)-1)*9+MATCH("Marriage",Parsed!$C$2:$C$10,0))=INDEX(Parsed!$H$2:$H$190,(MATCH(B72,Data!$B$2:$B$22,0)-1)*9+MATCH("Marriage",Parsed!$C$2:$C$10,0)),INDEX(Parsed!$M$2:$M$190,(MATCH(A72,Data!$B$2:$B$22,0)-1)*9+MATCH("Marriage",Parsed!$C$2:$C$10,0))*INDEX(Parsed!$I$2:$I$190,(MATCH(B72,Data!$B$2:$B$22,0)-1)*9+MATCH("Marriage",Parsed!$C$2:$C$10,0)),0)+IF(INDEX(Parsed!$K$2:$K$190,(MATCH(A72,Data!$B$2:$B$22,0)-1)*9+MATCH("Children",Parsed!$C$2:$C$10,0))=INDEX(Parsed!$H$2:$H$190,(MATCH(B72,Data!$B$2:$B$22,0)-1)*9+MATCH("Children",Parsed!$C$2:$C$10,0)),INDEX(Parsed!$M$2:$M$190,(MATCH(A72,Data!$B$2:$B$22,0)-1)*9+MATCH("Children",Parsed!$C$2:$C$10,0))*INDEX(Parsed!$I$2:$I$190,(MATCH(B72,Data!$B$2:$B$22,0)-1)*9+MATCH("Children",Parsed!$C$2:$C$10,0)),0)+IF(INDEX(Parsed!$K$2:$K$190,(MATCH(A72,Data!$B$2:$B$22,0)-1)*9+MATCH("Ethicity",Parsed!$C$2:$C$10,0))=INDEX(Parsed!$H$2:$H$190,(MATCH(B72,Data!$B$2:$B$22,0)-1)*9+MATCH("Ethicity",Parsed!$C$2:$C$10,0)),INDEX(Parsed!$M$2:$M$190,(MATCH(A72,Data!$B$2:$B$22,0)-1)*9+MATCH("Ethicity",Parsed!$C$2:$C$10,0))*INDEX(Parsed!$I$2:$I$190,(MATCH(B72,Data!$B$2:$B$22,0)-1)*9+MATCH("Ethicity",Parsed!$C$2:$C$10,0)),0)+IF(INDEX(Parsed!$K$2:$K$190,(MATCH(A72,Data!$B$2:$B$22,0)-1)*9+MATCH("Past",Parsed!$C$2:$C$10,0))=INDEX(Parsed!$H$2:$H$190,(MATCH(B72,Data!$B$2:$B$22,0)-1)*9+MATCH("Past",Parsed!$C$2:$C$10,0)),INDEX(Parsed!$M$2:$M$190,(MATCH(A72,Data!$B$2:$B$22,0)-1)*9+MATCH("Past",Parsed!$C$2:$C$10,0))*INDEX(Parsed!$I$2:$I$190,(MATCH(B72,Data!$B$2:$B$22,0)-1)*9+MATCH("Past",Parsed!$C$2:$C$10,0)),0)+IF(INDEX(Parsed!$K$2:$K$190,(MATCH(A72,Data!$B$2:$B$22,0)-1)*9+MATCH("D/S",Parsed!$C$2:$C$10,0))=INDEX(Parsed!$H$2:$H$190,(MATCH(B72,Data!$B$2:$B$22,0)-1)*9+MATCH("D/S",Parsed!$C$2:$C$10,0)),INDEX(Parsed!$M$2:$M$190,(MATCH(A72,Data!$B$2:$B$22,0)-1)*9+MATCH("D/S",Parsed!$C$2:$C$10,0))*INDEX(Parsed!$I$2:$I$190,(MATCH(B72,Data!$B$2:$B$22,0)-1)*9+MATCH("D/S",Parsed!$C$2:$C$10,0)),0)+IF(INDEX(Parsed!$K$2:$K$190,(MATCH(A72,Data!$B$2:$B$22,0)-1)*9+MATCH("True/kind",Parsed!$C$2:$C$10,0))=INDEX(Parsed!$H$2:$H$190,(MATCH(B72,Data!$B$2:$B$22,0)-1)*9+MATCH("True/kind",Parsed!$C$2:$C$10,0)),INDEX(Parsed!$M$2:$M$190,(MATCH(A72,Data!$B$2:$B$22,0)-1)*9+MATCH("True/kind",Parsed!$C$2:$C$10,0))*INDEX(Parsed!$I$2:$I$190,(MATCH(B72,Data!$B$2:$B$22,0)-1)*9+MATCH("True/kind",Parsed!$C$2:$C$10,0)),0)+IF(INDEX(Parsed!$K$2:$K$190,(MATCH(A72,Data!$B$2:$B$22,0)-1)*9+MATCH("Animal",Parsed!$C$2:$C$10,0))=INDEX(Parsed!$H$2:$H$190,(MATCH(B72,Data!$B$2:$B$22,0)-1)*9+MATCH("Animal",Parsed!$C$2:$C$10,0)),INDEX(Parsed!$M$2:$M$190,(MATCH(A72,Data!$B$2:$B$22,0)-1)*9+MATCH("Animal",Parsed!$C$2:$C$10,0))*INDEX(Parsed!$I$2:$I$190,(MATCH(B72,Data!$B$2:$B$22,0)-1)*9+MATCH("Animal",Parsed!$C$2:$C$10,0)),0),0)</x:f>
        <x:v>37.5</x:v>
      </x:c>
      <x:c r="E72" s="11" t="n">
        <x:f>SQRT(C72*D72)</x:f>
        <x:v>34.910600109422354</x:v>
      </x:c>
    </x:row>
    <x:row r="73">
      <x:c r="A73" t="str">
        <x:v>jt</x:v>
      </x:c>
      <x:c r="B73" t="str">
        <x:v>cathleen</x:v>
      </x:c>
      <x:c r="C73" s="11" t="n">
        <x:f>IFERROR(IF(INDEX(Parsed!$K$2:$K$190,(MATCH(B73,Data!$B$2:$B$22,0)-1)*9+MATCH("God",Parsed!$C$2:$C$10,0))=INDEX(Parsed!$H$2:$H$190,(MATCH(A73,Data!$B$2:$B$22,0)-1)*9+MATCH("God",Parsed!$C$2:$C$10,0)),INDEX(Parsed!$M$2:$M$190,(MATCH(B73,Data!$B$2:$B$22,0)-1)*9+MATCH("God",Parsed!$C$2:$C$10,0))*INDEX(Parsed!$I$2:$I$190,(MATCH(A73,Data!$B$2:$B$22,0)-1)*9+MATCH("God",Parsed!$C$2:$C$10,0)),0)+IF(INDEX(Parsed!$K$2:$K$190,(MATCH(B73,Data!$B$2:$B$22,0)-1)*9+MATCH("Politics",Parsed!$C$2:$C$10,0))=INDEX(Parsed!$H$2:$H$190,(MATCH(A73,Data!$B$2:$B$22,0)-1)*9+MATCH("Politics",Parsed!$C$2:$C$10,0)),INDEX(Parsed!$M$2:$M$190,(MATCH(B73,Data!$B$2:$B$22,0)-1)*9+MATCH("Politics",Parsed!$C$2:$C$10,0))*INDEX(Parsed!$I$2:$I$190,(MATCH(A73,Data!$B$2:$B$22,0)-1)*9+MATCH("Politics",Parsed!$C$2:$C$10,0)),0)+IF(INDEX(Parsed!$K$2:$K$190,(MATCH(B73,Data!$B$2:$B$22,0)-1)*9+MATCH("Marriage",Parsed!$C$2:$C$10,0))=INDEX(Parsed!$H$2:$H$190,(MATCH(A73,Data!$B$2:$B$22,0)-1)*9+MATCH("Marriage",Parsed!$C$2:$C$10,0)),INDEX(Parsed!$M$2:$M$190,(MATCH(B73,Data!$B$2:$B$22,0)-1)*9+MATCH("Marriage",Parsed!$C$2:$C$10,0))*INDEX(Parsed!$I$2:$I$190,(MATCH(A73,Data!$B$2:$B$22,0)-1)*9+MATCH("Marriage",Parsed!$C$2:$C$10,0)),0)+IF(INDEX(Parsed!$K$2:$K$190,(MATCH(B73,Data!$B$2:$B$22,0)-1)*9+MATCH("Children",Parsed!$C$2:$C$10,0))=INDEX(Parsed!$H$2:$H$190,(MATCH(A73,Data!$B$2:$B$22,0)-1)*9+MATCH("Children",Parsed!$C$2:$C$10,0)),INDEX(Parsed!$M$2:$M$190,(MATCH(B73,Data!$B$2:$B$22,0)-1)*9+MATCH("Children",Parsed!$C$2:$C$10,0))*INDEX(Parsed!$I$2:$I$190,(MATCH(A73,Data!$B$2:$B$22,0)-1)*9+MATCH("Children",Parsed!$C$2:$C$10,0)),0)+IF(INDEX(Parsed!$K$2:$K$190,(MATCH(B73,Data!$B$2:$B$22,0)-1)*9+MATCH("Ethicity",Parsed!$C$2:$C$10,0))=INDEX(Parsed!$H$2:$H$190,(MATCH(A73,Data!$B$2:$B$22,0)-1)*9+MATCH("Ethicity",Parsed!$C$2:$C$10,0)),INDEX(Parsed!$M$2:$M$190,(MATCH(B73,Data!$B$2:$B$22,0)-1)*9+MATCH("Ethicity",Parsed!$C$2:$C$10,0))*INDEX(Parsed!$I$2:$I$190,(MATCH(A73,Data!$B$2:$B$22,0)-1)*9+MATCH("Ethicity",Parsed!$C$2:$C$10,0)),0)+IF(INDEX(Parsed!$K$2:$K$190,(MATCH(B73,Data!$B$2:$B$22,0)-1)*9+MATCH("Past",Parsed!$C$2:$C$10,0))=INDEX(Parsed!$H$2:$H$190,(MATCH(A73,Data!$B$2:$B$22,0)-1)*9+MATCH("Past",Parsed!$C$2:$C$10,0)),INDEX(Parsed!$M$2:$M$190,(MATCH(B73,Data!$B$2:$B$22,0)-1)*9+MATCH("Past",Parsed!$C$2:$C$10,0))*INDEX(Parsed!$I$2:$I$190,(MATCH(A73,Data!$B$2:$B$22,0)-1)*9+MATCH("Past",Parsed!$C$2:$C$10,0)),0)+IF(INDEX(Parsed!$K$2:$K$190,(MATCH(B73,Data!$B$2:$B$22,0)-1)*9+MATCH("D/S",Parsed!$C$2:$C$10,0))=INDEX(Parsed!$H$2:$H$190,(MATCH(A73,Data!$B$2:$B$22,0)-1)*9+MATCH("D/S",Parsed!$C$2:$C$10,0)),INDEX(Parsed!$M$2:$M$190,(MATCH(B73,Data!$B$2:$B$22,0)-1)*9+MATCH("D/S",Parsed!$C$2:$C$10,0))*INDEX(Parsed!$I$2:$I$190,(MATCH(A73,Data!$B$2:$B$22,0)-1)*9+MATCH("D/S",Parsed!$C$2:$C$10,0)),0)+IF(INDEX(Parsed!$K$2:$K$190,(MATCH(B73,Data!$B$2:$B$22,0)-1)*9+MATCH("True/kind",Parsed!$C$2:$C$10,0))=INDEX(Parsed!$H$2:$H$190,(MATCH(A73,Data!$B$2:$B$22,0)-1)*9+MATCH("True/kind",Parsed!$C$2:$C$10,0)),INDEX(Parsed!$M$2:$M$190,(MATCH(B73,Data!$B$2:$B$22,0)-1)*9+MATCH("True/kind",Parsed!$C$2:$C$10,0))*INDEX(Parsed!$I$2:$I$190,(MATCH(A73,Data!$B$2:$B$22,0)-1)*9+MATCH("True/kind",Parsed!$C$2:$C$10,0)),0)+IF(INDEX(Parsed!$K$2:$K$190,(MATCH(B73,Data!$B$2:$B$22,0)-1)*9+MATCH("Animal",Parsed!$C$2:$C$10,0))=INDEX(Parsed!$H$2:$H$190,(MATCH(A73,Data!$B$2:$B$22,0)-1)*9+MATCH("Animal",Parsed!$C$2:$C$10,0)),INDEX(Parsed!$M$2:$M$190,(MATCH(B73,Data!$B$2:$B$22,0)-1)*9+MATCH("Animal",Parsed!$C$2:$C$10,0))*INDEX(Parsed!$I$2:$I$190,(MATCH(A73,Data!$B$2:$B$22,0)-1)*9+MATCH("Animal",Parsed!$C$2:$C$10,0)),0),0)</x:f>
        <x:v>47.5</x:v>
      </x:c>
      <x:c r="D73" s="11" t="n">
        <x:f>IFERROR(IF(INDEX(Parsed!$K$2:$K$190,(MATCH(A73,Data!$B$2:$B$22,0)-1)*9+MATCH("God",Parsed!$C$2:$C$10,0))=INDEX(Parsed!$H$2:$H$190,(MATCH(B73,Data!$B$2:$B$22,0)-1)*9+MATCH("God",Parsed!$C$2:$C$10,0)),INDEX(Parsed!$M$2:$M$190,(MATCH(A73,Data!$B$2:$B$22,0)-1)*9+MATCH("God",Parsed!$C$2:$C$10,0))*INDEX(Parsed!$I$2:$I$190,(MATCH(B73,Data!$B$2:$B$22,0)-1)*9+MATCH("God",Parsed!$C$2:$C$10,0)),0)+IF(INDEX(Parsed!$K$2:$K$190,(MATCH(A73,Data!$B$2:$B$22,0)-1)*9+MATCH("Politics",Parsed!$C$2:$C$10,0))=INDEX(Parsed!$H$2:$H$190,(MATCH(B73,Data!$B$2:$B$22,0)-1)*9+MATCH("Politics",Parsed!$C$2:$C$10,0)),INDEX(Parsed!$M$2:$M$190,(MATCH(A73,Data!$B$2:$B$22,0)-1)*9+MATCH("Politics",Parsed!$C$2:$C$10,0))*INDEX(Parsed!$I$2:$I$190,(MATCH(B73,Data!$B$2:$B$22,0)-1)*9+MATCH("Politics",Parsed!$C$2:$C$10,0)),0)+IF(INDEX(Parsed!$K$2:$K$190,(MATCH(A73,Data!$B$2:$B$22,0)-1)*9+MATCH("Marriage",Parsed!$C$2:$C$10,0))=INDEX(Parsed!$H$2:$H$190,(MATCH(B73,Data!$B$2:$B$22,0)-1)*9+MATCH("Marriage",Parsed!$C$2:$C$10,0)),INDEX(Parsed!$M$2:$M$190,(MATCH(A73,Data!$B$2:$B$22,0)-1)*9+MATCH("Marriage",Parsed!$C$2:$C$10,0))*INDEX(Parsed!$I$2:$I$190,(MATCH(B73,Data!$B$2:$B$22,0)-1)*9+MATCH("Marriage",Parsed!$C$2:$C$10,0)),0)+IF(INDEX(Parsed!$K$2:$K$190,(MATCH(A73,Data!$B$2:$B$22,0)-1)*9+MATCH("Children",Parsed!$C$2:$C$10,0))=INDEX(Parsed!$H$2:$H$190,(MATCH(B73,Data!$B$2:$B$22,0)-1)*9+MATCH("Children",Parsed!$C$2:$C$10,0)),INDEX(Parsed!$M$2:$M$190,(MATCH(A73,Data!$B$2:$B$22,0)-1)*9+MATCH("Children",Parsed!$C$2:$C$10,0))*INDEX(Parsed!$I$2:$I$190,(MATCH(B73,Data!$B$2:$B$22,0)-1)*9+MATCH("Children",Parsed!$C$2:$C$10,0)),0)+IF(INDEX(Parsed!$K$2:$K$190,(MATCH(A73,Data!$B$2:$B$22,0)-1)*9+MATCH("Ethicity",Parsed!$C$2:$C$10,0))=INDEX(Parsed!$H$2:$H$190,(MATCH(B73,Data!$B$2:$B$22,0)-1)*9+MATCH("Ethicity",Parsed!$C$2:$C$10,0)),INDEX(Parsed!$M$2:$M$190,(MATCH(A73,Data!$B$2:$B$22,0)-1)*9+MATCH("Ethicity",Parsed!$C$2:$C$10,0))*INDEX(Parsed!$I$2:$I$190,(MATCH(B73,Data!$B$2:$B$22,0)-1)*9+MATCH("Ethicity",Parsed!$C$2:$C$10,0)),0)+IF(INDEX(Parsed!$K$2:$K$190,(MATCH(A73,Data!$B$2:$B$22,0)-1)*9+MATCH("Past",Parsed!$C$2:$C$10,0))=INDEX(Parsed!$H$2:$H$190,(MATCH(B73,Data!$B$2:$B$22,0)-1)*9+MATCH("Past",Parsed!$C$2:$C$10,0)),INDEX(Parsed!$M$2:$M$190,(MATCH(A73,Data!$B$2:$B$22,0)-1)*9+MATCH("Past",Parsed!$C$2:$C$10,0))*INDEX(Parsed!$I$2:$I$190,(MATCH(B73,Data!$B$2:$B$22,0)-1)*9+MATCH("Past",Parsed!$C$2:$C$10,0)),0)+IF(INDEX(Parsed!$K$2:$K$190,(MATCH(A73,Data!$B$2:$B$22,0)-1)*9+MATCH("D/S",Parsed!$C$2:$C$10,0))=INDEX(Parsed!$H$2:$H$190,(MATCH(B73,Data!$B$2:$B$22,0)-1)*9+MATCH("D/S",Parsed!$C$2:$C$10,0)),INDEX(Parsed!$M$2:$M$190,(MATCH(A73,Data!$B$2:$B$22,0)-1)*9+MATCH("D/S",Parsed!$C$2:$C$10,0))*INDEX(Parsed!$I$2:$I$190,(MATCH(B73,Data!$B$2:$B$22,0)-1)*9+MATCH("D/S",Parsed!$C$2:$C$10,0)),0)+IF(INDEX(Parsed!$K$2:$K$190,(MATCH(A73,Data!$B$2:$B$22,0)-1)*9+MATCH("True/kind",Parsed!$C$2:$C$10,0))=INDEX(Parsed!$H$2:$H$190,(MATCH(B73,Data!$B$2:$B$22,0)-1)*9+MATCH("True/kind",Parsed!$C$2:$C$10,0)),INDEX(Parsed!$M$2:$M$190,(MATCH(A73,Data!$B$2:$B$22,0)-1)*9+MATCH("True/kind",Parsed!$C$2:$C$10,0))*INDEX(Parsed!$I$2:$I$190,(MATCH(B73,Data!$B$2:$B$22,0)-1)*9+MATCH("True/kind",Parsed!$C$2:$C$10,0)),0)+IF(INDEX(Parsed!$K$2:$K$190,(MATCH(A73,Data!$B$2:$B$22,0)-1)*9+MATCH("Animal",Parsed!$C$2:$C$10,0))=INDEX(Parsed!$H$2:$H$190,(MATCH(B73,Data!$B$2:$B$22,0)-1)*9+MATCH("Animal",Parsed!$C$2:$C$10,0)),INDEX(Parsed!$M$2:$M$190,(MATCH(A73,Data!$B$2:$B$22,0)-1)*9+MATCH("Animal",Parsed!$C$2:$C$10,0))*INDEX(Parsed!$I$2:$I$190,(MATCH(B73,Data!$B$2:$B$22,0)-1)*9+MATCH("Animal",Parsed!$C$2:$C$10,0)),0),0)</x:f>
        <x:v>80</x:v>
      </x:c>
      <x:c r="E73" s="11" t="n">
        <x:f>SQRT(C73*D73)</x:f>
        <x:v>61.644140029689765</x:v>
      </x:c>
    </x:row>
    <x:row r="74">
      <x:c r="A74" t="str">
        <x:v>jt</x:v>
      </x:c>
      <x:c r="B74" t="str">
        <x:v>edith</x:v>
      </x:c>
      <x:c r="C74" s="11" t="n">
        <x:f>IFERROR(IF(INDEX(Parsed!$K$2:$K$190,(MATCH(B74,Data!$B$2:$B$22,0)-1)*9+MATCH("God",Parsed!$C$2:$C$10,0))=INDEX(Parsed!$H$2:$H$190,(MATCH(A74,Data!$B$2:$B$22,0)-1)*9+MATCH("God",Parsed!$C$2:$C$10,0)),INDEX(Parsed!$M$2:$M$190,(MATCH(B74,Data!$B$2:$B$22,0)-1)*9+MATCH("God",Parsed!$C$2:$C$10,0))*INDEX(Parsed!$I$2:$I$190,(MATCH(A74,Data!$B$2:$B$22,0)-1)*9+MATCH("God",Parsed!$C$2:$C$10,0)),0)+IF(INDEX(Parsed!$K$2:$K$190,(MATCH(B74,Data!$B$2:$B$22,0)-1)*9+MATCH("Politics",Parsed!$C$2:$C$10,0))=INDEX(Parsed!$H$2:$H$190,(MATCH(A74,Data!$B$2:$B$22,0)-1)*9+MATCH("Politics",Parsed!$C$2:$C$10,0)),INDEX(Parsed!$M$2:$M$190,(MATCH(B74,Data!$B$2:$B$22,0)-1)*9+MATCH("Politics",Parsed!$C$2:$C$10,0))*INDEX(Parsed!$I$2:$I$190,(MATCH(A74,Data!$B$2:$B$22,0)-1)*9+MATCH("Politics",Parsed!$C$2:$C$10,0)),0)+IF(INDEX(Parsed!$K$2:$K$190,(MATCH(B74,Data!$B$2:$B$22,0)-1)*9+MATCH("Marriage",Parsed!$C$2:$C$10,0))=INDEX(Parsed!$H$2:$H$190,(MATCH(A74,Data!$B$2:$B$22,0)-1)*9+MATCH("Marriage",Parsed!$C$2:$C$10,0)),INDEX(Parsed!$M$2:$M$190,(MATCH(B74,Data!$B$2:$B$22,0)-1)*9+MATCH("Marriage",Parsed!$C$2:$C$10,0))*INDEX(Parsed!$I$2:$I$190,(MATCH(A74,Data!$B$2:$B$22,0)-1)*9+MATCH("Marriage",Parsed!$C$2:$C$10,0)),0)+IF(INDEX(Parsed!$K$2:$K$190,(MATCH(B74,Data!$B$2:$B$22,0)-1)*9+MATCH("Children",Parsed!$C$2:$C$10,0))=INDEX(Parsed!$H$2:$H$190,(MATCH(A74,Data!$B$2:$B$22,0)-1)*9+MATCH("Children",Parsed!$C$2:$C$10,0)),INDEX(Parsed!$M$2:$M$190,(MATCH(B74,Data!$B$2:$B$22,0)-1)*9+MATCH("Children",Parsed!$C$2:$C$10,0))*INDEX(Parsed!$I$2:$I$190,(MATCH(A74,Data!$B$2:$B$22,0)-1)*9+MATCH("Children",Parsed!$C$2:$C$10,0)),0)+IF(INDEX(Parsed!$K$2:$K$190,(MATCH(B74,Data!$B$2:$B$22,0)-1)*9+MATCH("Ethicity",Parsed!$C$2:$C$10,0))=INDEX(Parsed!$H$2:$H$190,(MATCH(A74,Data!$B$2:$B$22,0)-1)*9+MATCH("Ethicity",Parsed!$C$2:$C$10,0)),INDEX(Parsed!$M$2:$M$190,(MATCH(B74,Data!$B$2:$B$22,0)-1)*9+MATCH("Ethicity",Parsed!$C$2:$C$10,0))*INDEX(Parsed!$I$2:$I$190,(MATCH(A74,Data!$B$2:$B$22,0)-1)*9+MATCH("Ethicity",Parsed!$C$2:$C$10,0)),0)+IF(INDEX(Parsed!$K$2:$K$190,(MATCH(B74,Data!$B$2:$B$22,0)-1)*9+MATCH("Past",Parsed!$C$2:$C$10,0))=INDEX(Parsed!$H$2:$H$190,(MATCH(A74,Data!$B$2:$B$22,0)-1)*9+MATCH("Past",Parsed!$C$2:$C$10,0)),INDEX(Parsed!$M$2:$M$190,(MATCH(B74,Data!$B$2:$B$22,0)-1)*9+MATCH("Past",Parsed!$C$2:$C$10,0))*INDEX(Parsed!$I$2:$I$190,(MATCH(A74,Data!$B$2:$B$22,0)-1)*9+MATCH("Past",Parsed!$C$2:$C$10,0)),0)+IF(INDEX(Parsed!$K$2:$K$190,(MATCH(B74,Data!$B$2:$B$22,0)-1)*9+MATCH("D/S",Parsed!$C$2:$C$10,0))=INDEX(Parsed!$H$2:$H$190,(MATCH(A74,Data!$B$2:$B$22,0)-1)*9+MATCH("D/S",Parsed!$C$2:$C$10,0)),INDEX(Parsed!$M$2:$M$190,(MATCH(B74,Data!$B$2:$B$22,0)-1)*9+MATCH("D/S",Parsed!$C$2:$C$10,0))*INDEX(Parsed!$I$2:$I$190,(MATCH(A74,Data!$B$2:$B$22,0)-1)*9+MATCH("D/S",Parsed!$C$2:$C$10,0)),0)+IF(INDEX(Parsed!$K$2:$K$190,(MATCH(B74,Data!$B$2:$B$22,0)-1)*9+MATCH("True/kind",Parsed!$C$2:$C$10,0))=INDEX(Parsed!$H$2:$H$190,(MATCH(A74,Data!$B$2:$B$22,0)-1)*9+MATCH("True/kind",Parsed!$C$2:$C$10,0)),INDEX(Parsed!$M$2:$M$190,(MATCH(B74,Data!$B$2:$B$22,0)-1)*9+MATCH("True/kind",Parsed!$C$2:$C$10,0))*INDEX(Parsed!$I$2:$I$190,(MATCH(A74,Data!$B$2:$B$22,0)-1)*9+MATCH("True/kind",Parsed!$C$2:$C$10,0)),0)+IF(INDEX(Parsed!$K$2:$K$190,(MATCH(B74,Data!$B$2:$B$22,0)-1)*9+MATCH("Animal",Parsed!$C$2:$C$10,0))=INDEX(Parsed!$H$2:$H$190,(MATCH(A74,Data!$B$2:$B$22,0)-1)*9+MATCH("Animal",Parsed!$C$2:$C$10,0)),INDEX(Parsed!$M$2:$M$190,(MATCH(B74,Data!$B$2:$B$22,0)-1)*9+MATCH("Animal",Parsed!$C$2:$C$10,0))*INDEX(Parsed!$I$2:$I$190,(MATCH(A74,Data!$B$2:$B$22,0)-1)*9+MATCH("Animal",Parsed!$C$2:$C$10,0)),0),0)</x:f>
        <x:v>76.25</x:v>
      </x:c>
      <x:c r="D74" s="11" t="n">
        <x:f>IFERROR(IF(INDEX(Parsed!$K$2:$K$190,(MATCH(A74,Data!$B$2:$B$22,0)-1)*9+MATCH("God",Parsed!$C$2:$C$10,0))=INDEX(Parsed!$H$2:$H$190,(MATCH(B74,Data!$B$2:$B$22,0)-1)*9+MATCH("God",Parsed!$C$2:$C$10,0)),INDEX(Parsed!$M$2:$M$190,(MATCH(A74,Data!$B$2:$B$22,0)-1)*9+MATCH("God",Parsed!$C$2:$C$10,0))*INDEX(Parsed!$I$2:$I$190,(MATCH(B74,Data!$B$2:$B$22,0)-1)*9+MATCH("God",Parsed!$C$2:$C$10,0)),0)+IF(INDEX(Parsed!$K$2:$K$190,(MATCH(A74,Data!$B$2:$B$22,0)-1)*9+MATCH("Politics",Parsed!$C$2:$C$10,0))=INDEX(Parsed!$H$2:$H$190,(MATCH(B74,Data!$B$2:$B$22,0)-1)*9+MATCH("Politics",Parsed!$C$2:$C$10,0)),INDEX(Parsed!$M$2:$M$190,(MATCH(A74,Data!$B$2:$B$22,0)-1)*9+MATCH("Politics",Parsed!$C$2:$C$10,0))*INDEX(Parsed!$I$2:$I$190,(MATCH(B74,Data!$B$2:$B$22,0)-1)*9+MATCH("Politics",Parsed!$C$2:$C$10,0)),0)+IF(INDEX(Parsed!$K$2:$K$190,(MATCH(A74,Data!$B$2:$B$22,0)-1)*9+MATCH("Marriage",Parsed!$C$2:$C$10,0))=INDEX(Parsed!$H$2:$H$190,(MATCH(B74,Data!$B$2:$B$22,0)-1)*9+MATCH("Marriage",Parsed!$C$2:$C$10,0)),INDEX(Parsed!$M$2:$M$190,(MATCH(A74,Data!$B$2:$B$22,0)-1)*9+MATCH("Marriage",Parsed!$C$2:$C$10,0))*INDEX(Parsed!$I$2:$I$190,(MATCH(B74,Data!$B$2:$B$22,0)-1)*9+MATCH("Marriage",Parsed!$C$2:$C$10,0)),0)+IF(INDEX(Parsed!$K$2:$K$190,(MATCH(A74,Data!$B$2:$B$22,0)-1)*9+MATCH("Children",Parsed!$C$2:$C$10,0))=INDEX(Parsed!$H$2:$H$190,(MATCH(B74,Data!$B$2:$B$22,0)-1)*9+MATCH("Children",Parsed!$C$2:$C$10,0)),INDEX(Parsed!$M$2:$M$190,(MATCH(A74,Data!$B$2:$B$22,0)-1)*9+MATCH("Children",Parsed!$C$2:$C$10,0))*INDEX(Parsed!$I$2:$I$190,(MATCH(B74,Data!$B$2:$B$22,0)-1)*9+MATCH("Children",Parsed!$C$2:$C$10,0)),0)+IF(INDEX(Parsed!$K$2:$K$190,(MATCH(A74,Data!$B$2:$B$22,0)-1)*9+MATCH("Ethicity",Parsed!$C$2:$C$10,0))=INDEX(Parsed!$H$2:$H$190,(MATCH(B74,Data!$B$2:$B$22,0)-1)*9+MATCH("Ethicity",Parsed!$C$2:$C$10,0)),INDEX(Parsed!$M$2:$M$190,(MATCH(A74,Data!$B$2:$B$22,0)-1)*9+MATCH("Ethicity",Parsed!$C$2:$C$10,0))*INDEX(Parsed!$I$2:$I$190,(MATCH(B74,Data!$B$2:$B$22,0)-1)*9+MATCH("Ethicity",Parsed!$C$2:$C$10,0)),0)+IF(INDEX(Parsed!$K$2:$K$190,(MATCH(A74,Data!$B$2:$B$22,0)-1)*9+MATCH("Past",Parsed!$C$2:$C$10,0))=INDEX(Parsed!$H$2:$H$190,(MATCH(B74,Data!$B$2:$B$22,0)-1)*9+MATCH("Past",Parsed!$C$2:$C$10,0)),INDEX(Parsed!$M$2:$M$190,(MATCH(A74,Data!$B$2:$B$22,0)-1)*9+MATCH("Past",Parsed!$C$2:$C$10,0))*INDEX(Parsed!$I$2:$I$190,(MATCH(B74,Data!$B$2:$B$22,0)-1)*9+MATCH("Past",Parsed!$C$2:$C$10,0)),0)+IF(INDEX(Parsed!$K$2:$K$190,(MATCH(A74,Data!$B$2:$B$22,0)-1)*9+MATCH("D/S",Parsed!$C$2:$C$10,0))=INDEX(Parsed!$H$2:$H$190,(MATCH(B74,Data!$B$2:$B$22,0)-1)*9+MATCH("D/S",Parsed!$C$2:$C$10,0)),INDEX(Parsed!$M$2:$M$190,(MATCH(A74,Data!$B$2:$B$22,0)-1)*9+MATCH("D/S",Parsed!$C$2:$C$10,0))*INDEX(Parsed!$I$2:$I$190,(MATCH(B74,Data!$B$2:$B$22,0)-1)*9+MATCH("D/S",Parsed!$C$2:$C$10,0)),0)+IF(INDEX(Parsed!$K$2:$K$190,(MATCH(A74,Data!$B$2:$B$22,0)-1)*9+MATCH("True/kind",Parsed!$C$2:$C$10,0))=INDEX(Parsed!$H$2:$H$190,(MATCH(B74,Data!$B$2:$B$22,0)-1)*9+MATCH("True/kind",Parsed!$C$2:$C$10,0)),INDEX(Parsed!$M$2:$M$190,(MATCH(A74,Data!$B$2:$B$22,0)-1)*9+MATCH("True/kind",Parsed!$C$2:$C$10,0))*INDEX(Parsed!$I$2:$I$190,(MATCH(B74,Data!$B$2:$B$22,0)-1)*9+MATCH("True/kind",Parsed!$C$2:$C$10,0)),0)+IF(INDEX(Parsed!$K$2:$K$190,(MATCH(A74,Data!$B$2:$B$22,0)-1)*9+MATCH("Animal",Parsed!$C$2:$C$10,0))=INDEX(Parsed!$H$2:$H$190,(MATCH(B74,Data!$B$2:$B$22,0)-1)*9+MATCH("Animal",Parsed!$C$2:$C$10,0)),INDEX(Parsed!$M$2:$M$190,(MATCH(A74,Data!$B$2:$B$22,0)-1)*9+MATCH("Animal",Parsed!$C$2:$C$10,0))*INDEX(Parsed!$I$2:$I$190,(MATCH(B74,Data!$B$2:$B$22,0)-1)*9+MATCH("Animal",Parsed!$C$2:$C$10,0)),0),0)</x:f>
        <x:v>77.5</x:v>
      </x:c>
      <x:c r="E74" s="11" t="n">
        <x:f>SQRT(C74*D74)</x:f>
        <x:v>76.87245930760899</x:v>
      </x:c>
    </x:row>
    <x:row r="75">
      <x:c r="A75" t="str">
        <x:v>jt</x:v>
      </x:c>
      <x:c r="B75" t="str">
        <x:v>sophiah</x:v>
      </x:c>
      <x:c r="C75" s="11" t="n">
        <x:f>IFERROR(IF(INDEX(Parsed!$K$2:$K$190,(MATCH(B75,Data!$B$2:$B$22,0)-1)*9+MATCH("God",Parsed!$C$2:$C$10,0))=INDEX(Parsed!$H$2:$H$190,(MATCH(A75,Data!$B$2:$B$22,0)-1)*9+MATCH("God",Parsed!$C$2:$C$10,0)),INDEX(Parsed!$M$2:$M$190,(MATCH(B75,Data!$B$2:$B$22,0)-1)*9+MATCH("God",Parsed!$C$2:$C$10,0))*INDEX(Parsed!$I$2:$I$190,(MATCH(A75,Data!$B$2:$B$22,0)-1)*9+MATCH("God",Parsed!$C$2:$C$10,0)),0)+IF(INDEX(Parsed!$K$2:$K$190,(MATCH(B75,Data!$B$2:$B$22,0)-1)*9+MATCH("Politics",Parsed!$C$2:$C$10,0))=INDEX(Parsed!$H$2:$H$190,(MATCH(A75,Data!$B$2:$B$22,0)-1)*9+MATCH("Politics",Parsed!$C$2:$C$10,0)),INDEX(Parsed!$M$2:$M$190,(MATCH(B75,Data!$B$2:$B$22,0)-1)*9+MATCH("Politics",Parsed!$C$2:$C$10,0))*INDEX(Parsed!$I$2:$I$190,(MATCH(A75,Data!$B$2:$B$22,0)-1)*9+MATCH("Politics",Parsed!$C$2:$C$10,0)),0)+IF(INDEX(Parsed!$K$2:$K$190,(MATCH(B75,Data!$B$2:$B$22,0)-1)*9+MATCH("Marriage",Parsed!$C$2:$C$10,0))=INDEX(Parsed!$H$2:$H$190,(MATCH(A75,Data!$B$2:$B$22,0)-1)*9+MATCH("Marriage",Parsed!$C$2:$C$10,0)),INDEX(Parsed!$M$2:$M$190,(MATCH(B75,Data!$B$2:$B$22,0)-1)*9+MATCH("Marriage",Parsed!$C$2:$C$10,0))*INDEX(Parsed!$I$2:$I$190,(MATCH(A75,Data!$B$2:$B$22,0)-1)*9+MATCH("Marriage",Parsed!$C$2:$C$10,0)),0)+IF(INDEX(Parsed!$K$2:$K$190,(MATCH(B75,Data!$B$2:$B$22,0)-1)*9+MATCH("Children",Parsed!$C$2:$C$10,0))=INDEX(Parsed!$H$2:$H$190,(MATCH(A75,Data!$B$2:$B$22,0)-1)*9+MATCH("Children",Parsed!$C$2:$C$10,0)),INDEX(Parsed!$M$2:$M$190,(MATCH(B75,Data!$B$2:$B$22,0)-1)*9+MATCH("Children",Parsed!$C$2:$C$10,0))*INDEX(Parsed!$I$2:$I$190,(MATCH(A75,Data!$B$2:$B$22,0)-1)*9+MATCH("Children",Parsed!$C$2:$C$10,0)),0)+IF(INDEX(Parsed!$K$2:$K$190,(MATCH(B75,Data!$B$2:$B$22,0)-1)*9+MATCH("Ethicity",Parsed!$C$2:$C$10,0))=INDEX(Parsed!$H$2:$H$190,(MATCH(A75,Data!$B$2:$B$22,0)-1)*9+MATCH("Ethicity",Parsed!$C$2:$C$10,0)),INDEX(Parsed!$M$2:$M$190,(MATCH(B75,Data!$B$2:$B$22,0)-1)*9+MATCH("Ethicity",Parsed!$C$2:$C$10,0))*INDEX(Parsed!$I$2:$I$190,(MATCH(A75,Data!$B$2:$B$22,0)-1)*9+MATCH("Ethicity",Parsed!$C$2:$C$10,0)),0)+IF(INDEX(Parsed!$K$2:$K$190,(MATCH(B75,Data!$B$2:$B$22,0)-1)*9+MATCH("Past",Parsed!$C$2:$C$10,0))=INDEX(Parsed!$H$2:$H$190,(MATCH(A75,Data!$B$2:$B$22,0)-1)*9+MATCH("Past",Parsed!$C$2:$C$10,0)),INDEX(Parsed!$M$2:$M$190,(MATCH(B75,Data!$B$2:$B$22,0)-1)*9+MATCH("Past",Parsed!$C$2:$C$10,0))*INDEX(Parsed!$I$2:$I$190,(MATCH(A75,Data!$B$2:$B$22,0)-1)*9+MATCH("Past",Parsed!$C$2:$C$10,0)),0)+IF(INDEX(Parsed!$K$2:$K$190,(MATCH(B75,Data!$B$2:$B$22,0)-1)*9+MATCH("D/S",Parsed!$C$2:$C$10,0))=INDEX(Parsed!$H$2:$H$190,(MATCH(A75,Data!$B$2:$B$22,0)-1)*9+MATCH("D/S",Parsed!$C$2:$C$10,0)),INDEX(Parsed!$M$2:$M$190,(MATCH(B75,Data!$B$2:$B$22,0)-1)*9+MATCH("D/S",Parsed!$C$2:$C$10,0))*INDEX(Parsed!$I$2:$I$190,(MATCH(A75,Data!$B$2:$B$22,0)-1)*9+MATCH("D/S",Parsed!$C$2:$C$10,0)),0)+IF(INDEX(Parsed!$K$2:$K$190,(MATCH(B75,Data!$B$2:$B$22,0)-1)*9+MATCH("True/kind",Parsed!$C$2:$C$10,0))=INDEX(Parsed!$H$2:$H$190,(MATCH(A75,Data!$B$2:$B$22,0)-1)*9+MATCH("True/kind",Parsed!$C$2:$C$10,0)),INDEX(Parsed!$M$2:$M$190,(MATCH(B75,Data!$B$2:$B$22,0)-1)*9+MATCH("True/kind",Parsed!$C$2:$C$10,0))*INDEX(Parsed!$I$2:$I$190,(MATCH(A75,Data!$B$2:$B$22,0)-1)*9+MATCH("True/kind",Parsed!$C$2:$C$10,0)),0)+IF(INDEX(Parsed!$K$2:$K$190,(MATCH(B75,Data!$B$2:$B$22,0)-1)*9+MATCH("Animal",Parsed!$C$2:$C$10,0))=INDEX(Parsed!$H$2:$H$190,(MATCH(A75,Data!$B$2:$B$22,0)-1)*9+MATCH("Animal",Parsed!$C$2:$C$10,0)),INDEX(Parsed!$M$2:$M$190,(MATCH(B75,Data!$B$2:$B$22,0)-1)*9+MATCH("Animal",Parsed!$C$2:$C$10,0))*INDEX(Parsed!$I$2:$I$190,(MATCH(A75,Data!$B$2:$B$22,0)-1)*9+MATCH("Animal",Parsed!$C$2:$C$10,0)),0),0)</x:f>
        <x:v>33.75</x:v>
      </x:c>
      <x:c r="D75" s="11" t="n">
        <x:f>IFERROR(IF(INDEX(Parsed!$K$2:$K$190,(MATCH(A75,Data!$B$2:$B$22,0)-1)*9+MATCH("God",Parsed!$C$2:$C$10,0))=INDEX(Parsed!$H$2:$H$190,(MATCH(B75,Data!$B$2:$B$22,0)-1)*9+MATCH("God",Parsed!$C$2:$C$10,0)),INDEX(Parsed!$M$2:$M$190,(MATCH(A75,Data!$B$2:$B$22,0)-1)*9+MATCH("God",Parsed!$C$2:$C$10,0))*INDEX(Parsed!$I$2:$I$190,(MATCH(B75,Data!$B$2:$B$22,0)-1)*9+MATCH("God",Parsed!$C$2:$C$10,0)),0)+IF(INDEX(Parsed!$K$2:$K$190,(MATCH(A75,Data!$B$2:$B$22,0)-1)*9+MATCH("Politics",Parsed!$C$2:$C$10,0))=INDEX(Parsed!$H$2:$H$190,(MATCH(B75,Data!$B$2:$B$22,0)-1)*9+MATCH("Politics",Parsed!$C$2:$C$10,0)),INDEX(Parsed!$M$2:$M$190,(MATCH(A75,Data!$B$2:$B$22,0)-1)*9+MATCH("Politics",Parsed!$C$2:$C$10,0))*INDEX(Parsed!$I$2:$I$190,(MATCH(B75,Data!$B$2:$B$22,0)-1)*9+MATCH("Politics",Parsed!$C$2:$C$10,0)),0)+IF(INDEX(Parsed!$K$2:$K$190,(MATCH(A75,Data!$B$2:$B$22,0)-1)*9+MATCH("Marriage",Parsed!$C$2:$C$10,0))=INDEX(Parsed!$H$2:$H$190,(MATCH(B75,Data!$B$2:$B$22,0)-1)*9+MATCH("Marriage",Parsed!$C$2:$C$10,0)),INDEX(Parsed!$M$2:$M$190,(MATCH(A75,Data!$B$2:$B$22,0)-1)*9+MATCH("Marriage",Parsed!$C$2:$C$10,0))*INDEX(Parsed!$I$2:$I$190,(MATCH(B75,Data!$B$2:$B$22,0)-1)*9+MATCH("Marriage",Parsed!$C$2:$C$10,0)),0)+IF(INDEX(Parsed!$K$2:$K$190,(MATCH(A75,Data!$B$2:$B$22,0)-1)*9+MATCH("Children",Parsed!$C$2:$C$10,0))=INDEX(Parsed!$H$2:$H$190,(MATCH(B75,Data!$B$2:$B$22,0)-1)*9+MATCH("Children",Parsed!$C$2:$C$10,0)),INDEX(Parsed!$M$2:$M$190,(MATCH(A75,Data!$B$2:$B$22,0)-1)*9+MATCH("Children",Parsed!$C$2:$C$10,0))*INDEX(Parsed!$I$2:$I$190,(MATCH(B75,Data!$B$2:$B$22,0)-1)*9+MATCH("Children",Parsed!$C$2:$C$10,0)),0)+IF(INDEX(Parsed!$K$2:$K$190,(MATCH(A75,Data!$B$2:$B$22,0)-1)*9+MATCH("Ethicity",Parsed!$C$2:$C$10,0))=INDEX(Parsed!$H$2:$H$190,(MATCH(B75,Data!$B$2:$B$22,0)-1)*9+MATCH("Ethicity",Parsed!$C$2:$C$10,0)),INDEX(Parsed!$M$2:$M$190,(MATCH(A75,Data!$B$2:$B$22,0)-1)*9+MATCH("Ethicity",Parsed!$C$2:$C$10,0))*INDEX(Parsed!$I$2:$I$190,(MATCH(B75,Data!$B$2:$B$22,0)-1)*9+MATCH("Ethicity",Parsed!$C$2:$C$10,0)),0)+IF(INDEX(Parsed!$K$2:$K$190,(MATCH(A75,Data!$B$2:$B$22,0)-1)*9+MATCH("Past",Parsed!$C$2:$C$10,0))=INDEX(Parsed!$H$2:$H$190,(MATCH(B75,Data!$B$2:$B$22,0)-1)*9+MATCH("Past",Parsed!$C$2:$C$10,0)),INDEX(Parsed!$M$2:$M$190,(MATCH(A75,Data!$B$2:$B$22,0)-1)*9+MATCH("Past",Parsed!$C$2:$C$10,0))*INDEX(Parsed!$I$2:$I$190,(MATCH(B75,Data!$B$2:$B$22,0)-1)*9+MATCH("Past",Parsed!$C$2:$C$10,0)),0)+IF(INDEX(Parsed!$K$2:$K$190,(MATCH(A75,Data!$B$2:$B$22,0)-1)*9+MATCH("D/S",Parsed!$C$2:$C$10,0))=INDEX(Parsed!$H$2:$H$190,(MATCH(B75,Data!$B$2:$B$22,0)-1)*9+MATCH("D/S",Parsed!$C$2:$C$10,0)),INDEX(Parsed!$M$2:$M$190,(MATCH(A75,Data!$B$2:$B$22,0)-1)*9+MATCH("D/S",Parsed!$C$2:$C$10,0))*INDEX(Parsed!$I$2:$I$190,(MATCH(B75,Data!$B$2:$B$22,0)-1)*9+MATCH("D/S",Parsed!$C$2:$C$10,0)),0)+IF(INDEX(Parsed!$K$2:$K$190,(MATCH(A75,Data!$B$2:$B$22,0)-1)*9+MATCH("True/kind",Parsed!$C$2:$C$10,0))=INDEX(Parsed!$H$2:$H$190,(MATCH(B75,Data!$B$2:$B$22,0)-1)*9+MATCH("True/kind",Parsed!$C$2:$C$10,0)),INDEX(Parsed!$M$2:$M$190,(MATCH(A75,Data!$B$2:$B$22,0)-1)*9+MATCH("True/kind",Parsed!$C$2:$C$10,0))*INDEX(Parsed!$I$2:$I$190,(MATCH(B75,Data!$B$2:$B$22,0)-1)*9+MATCH("True/kind",Parsed!$C$2:$C$10,0)),0)+IF(INDEX(Parsed!$K$2:$K$190,(MATCH(A75,Data!$B$2:$B$22,0)-1)*9+MATCH("Animal",Parsed!$C$2:$C$10,0))=INDEX(Parsed!$H$2:$H$190,(MATCH(B75,Data!$B$2:$B$22,0)-1)*9+MATCH("Animal",Parsed!$C$2:$C$10,0)),INDEX(Parsed!$M$2:$M$190,(MATCH(A75,Data!$B$2:$B$22,0)-1)*9+MATCH("Animal",Parsed!$C$2:$C$10,0))*INDEX(Parsed!$I$2:$I$190,(MATCH(B75,Data!$B$2:$B$22,0)-1)*9+MATCH("Animal",Parsed!$C$2:$C$10,0)),0),0)</x:f>
        <x:v>68.75</x:v>
      </x:c>
      <x:c r="E75" s="11" t="n">
        <x:f>SQRT(C75*D75)</x:f>
        <x:v>48.169622169994234</x:v>
      </x:c>
    </x:row>
    <x:row r="76">
      <x:c r="A76" t="str">
        <x:v>jt</x:v>
      </x:c>
      <x:c r="B76" t="str">
        <x:v>angela</x:v>
      </x:c>
      <x:c r="C76" s="11" t="n">
        <x:f>IFERROR(IF(INDEX(Parsed!$K$2:$K$190,(MATCH(B76,Data!$B$2:$B$22,0)-1)*9+MATCH("God",Parsed!$C$2:$C$10,0))=INDEX(Parsed!$H$2:$H$190,(MATCH(A76,Data!$B$2:$B$22,0)-1)*9+MATCH("God",Parsed!$C$2:$C$10,0)),INDEX(Parsed!$M$2:$M$190,(MATCH(B76,Data!$B$2:$B$22,0)-1)*9+MATCH("God",Parsed!$C$2:$C$10,0))*INDEX(Parsed!$I$2:$I$190,(MATCH(A76,Data!$B$2:$B$22,0)-1)*9+MATCH("God",Parsed!$C$2:$C$10,0)),0)+IF(INDEX(Parsed!$K$2:$K$190,(MATCH(B76,Data!$B$2:$B$22,0)-1)*9+MATCH("Politics",Parsed!$C$2:$C$10,0))=INDEX(Parsed!$H$2:$H$190,(MATCH(A76,Data!$B$2:$B$22,0)-1)*9+MATCH("Politics",Parsed!$C$2:$C$10,0)),INDEX(Parsed!$M$2:$M$190,(MATCH(B76,Data!$B$2:$B$22,0)-1)*9+MATCH("Politics",Parsed!$C$2:$C$10,0))*INDEX(Parsed!$I$2:$I$190,(MATCH(A76,Data!$B$2:$B$22,0)-1)*9+MATCH("Politics",Parsed!$C$2:$C$10,0)),0)+IF(INDEX(Parsed!$K$2:$K$190,(MATCH(B76,Data!$B$2:$B$22,0)-1)*9+MATCH("Marriage",Parsed!$C$2:$C$10,0))=INDEX(Parsed!$H$2:$H$190,(MATCH(A76,Data!$B$2:$B$22,0)-1)*9+MATCH("Marriage",Parsed!$C$2:$C$10,0)),INDEX(Parsed!$M$2:$M$190,(MATCH(B76,Data!$B$2:$B$22,0)-1)*9+MATCH("Marriage",Parsed!$C$2:$C$10,0))*INDEX(Parsed!$I$2:$I$190,(MATCH(A76,Data!$B$2:$B$22,0)-1)*9+MATCH("Marriage",Parsed!$C$2:$C$10,0)),0)+IF(INDEX(Parsed!$K$2:$K$190,(MATCH(B76,Data!$B$2:$B$22,0)-1)*9+MATCH("Children",Parsed!$C$2:$C$10,0))=INDEX(Parsed!$H$2:$H$190,(MATCH(A76,Data!$B$2:$B$22,0)-1)*9+MATCH("Children",Parsed!$C$2:$C$10,0)),INDEX(Parsed!$M$2:$M$190,(MATCH(B76,Data!$B$2:$B$22,0)-1)*9+MATCH("Children",Parsed!$C$2:$C$10,0))*INDEX(Parsed!$I$2:$I$190,(MATCH(A76,Data!$B$2:$B$22,0)-1)*9+MATCH("Children",Parsed!$C$2:$C$10,0)),0)+IF(INDEX(Parsed!$K$2:$K$190,(MATCH(B76,Data!$B$2:$B$22,0)-1)*9+MATCH("Ethicity",Parsed!$C$2:$C$10,0))=INDEX(Parsed!$H$2:$H$190,(MATCH(A76,Data!$B$2:$B$22,0)-1)*9+MATCH("Ethicity",Parsed!$C$2:$C$10,0)),INDEX(Parsed!$M$2:$M$190,(MATCH(B76,Data!$B$2:$B$22,0)-1)*9+MATCH("Ethicity",Parsed!$C$2:$C$10,0))*INDEX(Parsed!$I$2:$I$190,(MATCH(A76,Data!$B$2:$B$22,0)-1)*9+MATCH("Ethicity",Parsed!$C$2:$C$10,0)),0)+IF(INDEX(Parsed!$K$2:$K$190,(MATCH(B76,Data!$B$2:$B$22,0)-1)*9+MATCH("Past",Parsed!$C$2:$C$10,0))=INDEX(Parsed!$H$2:$H$190,(MATCH(A76,Data!$B$2:$B$22,0)-1)*9+MATCH("Past",Parsed!$C$2:$C$10,0)),INDEX(Parsed!$M$2:$M$190,(MATCH(B76,Data!$B$2:$B$22,0)-1)*9+MATCH("Past",Parsed!$C$2:$C$10,0))*INDEX(Parsed!$I$2:$I$190,(MATCH(A76,Data!$B$2:$B$22,0)-1)*9+MATCH("Past",Parsed!$C$2:$C$10,0)),0)+IF(INDEX(Parsed!$K$2:$K$190,(MATCH(B76,Data!$B$2:$B$22,0)-1)*9+MATCH("D/S",Parsed!$C$2:$C$10,0))=INDEX(Parsed!$H$2:$H$190,(MATCH(A76,Data!$B$2:$B$22,0)-1)*9+MATCH("D/S",Parsed!$C$2:$C$10,0)),INDEX(Parsed!$M$2:$M$190,(MATCH(B76,Data!$B$2:$B$22,0)-1)*9+MATCH("D/S",Parsed!$C$2:$C$10,0))*INDEX(Parsed!$I$2:$I$190,(MATCH(A76,Data!$B$2:$B$22,0)-1)*9+MATCH("D/S",Parsed!$C$2:$C$10,0)),0)+IF(INDEX(Parsed!$K$2:$K$190,(MATCH(B76,Data!$B$2:$B$22,0)-1)*9+MATCH("True/kind",Parsed!$C$2:$C$10,0))=INDEX(Parsed!$H$2:$H$190,(MATCH(A76,Data!$B$2:$B$22,0)-1)*9+MATCH("True/kind",Parsed!$C$2:$C$10,0)),INDEX(Parsed!$M$2:$M$190,(MATCH(B76,Data!$B$2:$B$22,0)-1)*9+MATCH("True/kind",Parsed!$C$2:$C$10,0))*INDEX(Parsed!$I$2:$I$190,(MATCH(A76,Data!$B$2:$B$22,0)-1)*9+MATCH("True/kind",Parsed!$C$2:$C$10,0)),0)+IF(INDEX(Parsed!$K$2:$K$190,(MATCH(B76,Data!$B$2:$B$22,0)-1)*9+MATCH("Animal",Parsed!$C$2:$C$10,0))=INDEX(Parsed!$H$2:$H$190,(MATCH(A76,Data!$B$2:$B$22,0)-1)*9+MATCH("Animal",Parsed!$C$2:$C$10,0)),INDEX(Parsed!$M$2:$M$190,(MATCH(B76,Data!$B$2:$B$22,0)-1)*9+MATCH("Animal",Parsed!$C$2:$C$10,0))*INDEX(Parsed!$I$2:$I$190,(MATCH(A76,Data!$B$2:$B$22,0)-1)*9+MATCH("Animal",Parsed!$C$2:$C$10,0)),0),0)</x:f>
        <x:v>52.5</x:v>
      </x:c>
      <x:c r="D76" s="11" t="n">
        <x:f>IFERROR(IF(INDEX(Parsed!$K$2:$K$190,(MATCH(A76,Data!$B$2:$B$22,0)-1)*9+MATCH("God",Parsed!$C$2:$C$10,0))=INDEX(Parsed!$H$2:$H$190,(MATCH(B76,Data!$B$2:$B$22,0)-1)*9+MATCH("God",Parsed!$C$2:$C$10,0)),INDEX(Parsed!$M$2:$M$190,(MATCH(A76,Data!$B$2:$B$22,0)-1)*9+MATCH("God",Parsed!$C$2:$C$10,0))*INDEX(Parsed!$I$2:$I$190,(MATCH(B76,Data!$B$2:$B$22,0)-1)*9+MATCH("God",Parsed!$C$2:$C$10,0)),0)+IF(INDEX(Parsed!$K$2:$K$190,(MATCH(A76,Data!$B$2:$B$22,0)-1)*9+MATCH("Politics",Parsed!$C$2:$C$10,0))=INDEX(Parsed!$H$2:$H$190,(MATCH(B76,Data!$B$2:$B$22,0)-1)*9+MATCH("Politics",Parsed!$C$2:$C$10,0)),INDEX(Parsed!$M$2:$M$190,(MATCH(A76,Data!$B$2:$B$22,0)-1)*9+MATCH("Politics",Parsed!$C$2:$C$10,0))*INDEX(Parsed!$I$2:$I$190,(MATCH(B76,Data!$B$2:$B$22,0)-1)*9+MATCH("Politics",Parsed!$C$2:$C$10,0)),0)+IF(INDEX(Parsed!$K$2:$K$190,(MATCH(A76,Data!$B$2:$B$22,0)-1)*9+MATCH("Marriage",Parsed!$C$2:$C$10,0))=INDEX(Parsed!$H$2:$H$190,(MATCH(B76,Data!$B$2:$B$22,0)-1)*9+MATCH("Marriage",Parsed!$C$2:$C$10,0)),INDEX(Parsed!$M$2:$M$190,(MATCH(A76,Data!$B$2:$B$22,0)-1)*9+MATCH("Marriage",Parsed!$C$2:$C$10,0))*INDEX(Parsed!$I$2:$I$190,(MATCH(B76,Data!$B$2:$B$22,0)-1)*9+MATCH("Marriage",Parsed!$C$2:$C$10,0)),0)+IF(INDEX(Parsed!$K$2:$K$190,(MATCH(A76,Data!$B$2:$B$22,0)-1)*9+MATCH("Children",Parsed!$C$2:$C$10,0))=INDEX(Parsed!$H$2:$H$190,(MATCH(B76,Data!$B$2:$B$22,0)-1)*9+MATCH("Children",Parsed!$C$2:$C$10,0)),INDEX(Parsed!$M$2:$M$190,(MATCH(A76,Data!$B$2:$B$22,0)-1)*9+MATCH("Children",Parsed!$C$2:$C$10,0))*INDEX(Parsed!$I$2:$I$190,(MATCH(B76,Data!$B$2:$B$22,0)-1)*9+MATCH("Children",Parsed!$C$2:$C$10,0)),0)+IF(INDEX(Parsed!$K$2:$K$190,(MATCH(A76,Data!$B$2:$B$22,0)-1)*9+MATCH("Ethicity",Parsed!$C$2:$C$10,0))=INDEX(Parsed!$H$2:$H$190,(MATCH(B76,Data!$B$2:$B$22,0)-1)*9+MATCH("Ethicity",Parsed!$C$2:$C$10,0)),INDEX(Parsed!$M$2:$M$190,(MATCH(A76,Data!$B$2:$B$22,0)-1)*9+MATCH("Ethicity",Parsed!$C$2:$C$10,0))*INDEX(Parsed!$I$2:$I$190,(MATCH(B76,Data!$B$2:$B$22,0)-1)*9+MATCH("Ethicity",Parsed!$C$2:$C$10,0)),0)+IF(INDEX(Parsed!$K$2:$K$190,(MATCH(A76,Data!$B$2:$B$22,0)-1)*9+MATCH("Past",Parsed!$C$2:$C$10,0))=INDEX(Parsed!$H$2:$H$190,(MATCH(B76,Data!$B$2:$B$22,0)-1)*9+MATCH("Past",Parsed!$C$2:$C$10,0)),INDEX(Parsed!$M$2:$M$190,(MATCH(A76,Data!$B$2:$B$22,0)-1)*9+MATCH("Past",Parsed!$C$2:$C$10,0))*INDEX(Parsed!$I$2:$I$190,(MATCH(B76,Data!$B$2:$B$22,0)-1)*9+MATCH("Past",Parsed!$C$2:$C$10,0)),0)+IF(INDEX(Parsed!$K$2:$K$190,(MATCH(A76,Data!$B$2:$B$22,0)-1)*9+MATCH("D/S",Parsed!$C$2:$C$10,0))=INDEX(Parsed!$H$2:$H$190,(MATCH(B76,Data!$B$2:$B$22,0)-1)*9+MATCH("D/S",Parsed!$C$2:$C$10,0)),INDEX(Parsed!$M$2:$M$190,(MATCH(A76,Data!$B$2:$B$22,0)-1)*9+MATCH("D/S",Parsed!$C$2:$C$10,0))*INDEX(Parsed!$I$2:$I$190,(MATCH(B76,Data!$B$2:$B$22,0)-1)*9+MATCH("D/S",Parsed!$C$2:$C$10,0)),0)+IF(INDEX(Parsed!$K$2:$K$190,(MATCH(A76,Data!$B$2:$B$22,0)-1)*9+MATCH("True/kind",Parsed!$C$2:$C$10,0))=INDEX(Parsed!$H$2:$H$190,(MATCH(B76,Data!$B$2:$B$22,0)-1)*9+MATCH("True/kind",Parsed!$C$2:$C$10,0)),INDEX(Parsed!$M$2:$M$190,(MATCH(A76,Data!$B$2:$B$22,0)-1)*9+MATCH("True/kind",Parsed!$C$2:$C$10,0))*INDEX(Parsed!$I$2:$I$190,(MATCH(B76,Data!$B$2:$B$22,0)-1)*9+MATCH("True/kind",Parsed!$C$2:$C$10,0)),0)+IF(INDEX(Parsed!$K$2:$K$190,(MATCH(A76,Data!$B$2:$B$22,0)-1)*9+MATCH("Animal",Parsed!$C$2:$C$10,0))=INDEX(Parsed!$H$2:$H$190,(MATCH(B76,Data!$B$2:$B$22,0)-1)*9+MATCH("Animal",Parsed!$C$2:$C$10,0)),INDEX(Parsed!$M$2:$M$190,(MATCH(A76,Data!$B$2:$B$22,0)-1)*9+MATCH("Animal",Parsed!$C$2:$C$10,0))*INDEX(Parsed!$I$2:$I$190,(MATCH(B76,Data!$B$2:$B$22,0)-1)*9+MATCH("Animal",Parsed!$C$2:$C$10,0)),0),0)</x:f>
        <x:v>42.5</x:v>
      </x:c>
      <x:c r="E76" s="11" t="n">
        <x:f>SQRT(C76*D76)</x:f>
        <x:v>47.23610906922796</x:v>
      </x:c>
    </x:row>
    <x:row r="77">
      <x:c r="A77" t="str">
        <x:v>jt</x:v>
      </x:c>
      <x:c r="B77" t="str">
        <x:v>issabel</x:v>
      </x:c>
      <x:c r="C77" s="11" t="n">
        <x:f>IFERROR(IF(INDEX(Parsed!$K$2:$K$190,(MATCH(B77,Data!$B$2:$B$22,0)-1)*9+MATCH("God",Parsed!$C$2:$C$10,0))=INDEX(Parsed!$H$2:$H$190,(MATCH(A77,Data!$B$2:$B$22,0)-1)*9+MATCH("God",Parsed!$C$2:$C$10,0)),INDEX(Parsed!$M$2:$M$190,(MATCH(B77,Data!$B$2:$B$22,0)-1)*9+MATCH("God",Parsed!$C$2:$C$10,0))*INDEX(Parsed!$I$2:$I$190,(MATCH(A77,Data!$B$2:$B$22,0)-1)*9+MATCH("God",Parsed!$C$2:$C$10,0)),0)+IF(INDEX(Parsed!$K$2:$K$190,(MATCH(B77,Data!$B$2:$B$22,0)-1)*9+MATCH("Politics",Parsed!$C$2:$C$10,0))=INDEX(Parsed!$H$2:$H$190,(MATCH(A77,Data!$B$2:$B$22,0)-1)*9+MATCH("Politics",Parsed!$C$2:$C$10,0)),INDEX(Parsed!$M$2:$M$190,(MATCH(B77,Data!$B$2:$B$22,0)-1)*9+MATCH("Politics",Parsed!$C$2:$C$10,0))*INDEX(Parsed!$I$2:$I$190,(MATCH(A77,Data!$B$2:$B$22,0)-1)*9+MATCH("Politics",Parsed!$C$2:$C$10,0)),0)+IF(INDEX(Parsed!$K$2:$K$190,(MATCH(B77,Data!$B$2:$B$22,0)-1)*9+MATCH("Marriage",Parsed!$C$2:$C$10,0))=INDEX(Parsed!$H$2:$H$190,(MATCH(A77,Data!$B$2:$B$22,0)-1)*9+MATCH("Marriage",Parsed!$C$2:$C$10,0)),INDEX(Parsed!$M$2:$M$190,(MATCH(B77,Data!$B$2:$B$22,0)-1)*9+MATCH("Marriage",Parsed!$C$2:$C$10,0))*INDEX(Parsed!$I$2:$I$190,(MATCH(A77,Data!$B$2:$B$22,0)-1)*9+MATCH("Marriage",Parsed!$C$2:$C$10,0)),0)+IF(INDEX(Parsed!$K$2:$K$190,(MATCH(B77,Data!$B$2:$B$22,0)-1)*9+MATCH("Children",Parsed!$C$2:$C$10,0))=INDEX(Parsed!$H$2:$H$190,(MATCH(A77,Data!$B$2:$B$22,0)-1)*9+MATCH("Children",Parsed!$C$2:$C$10,0)),INDEX(Parsed!$M$2:$M$190,(MATCH(B77,Data!$B$2:$B$22,0)-1)*9+MATCH("Children",Parsed!$C$2:$C$10,0))*INDEX(Parsed!$I$2:$I$190,(MATCH(A77,Data!$B$2:$B$22,0)-1)*9+MATCH("Children",Parsed!$C$2:$C$10,0)),0)+IF(INDEX(Parsed!$K$2:$K$190,(MATCH(B77,Data!$B$2:$B$22,0)-1)*9+MATCH("Ethicity",Parsed!$C$2:$C$10,0))=INDEX(Parsed!$H$2:$H$190,(MATCH(A77,Data!$B$2:$B$22,0)-1)*9+MATCH("Ethicity",Parsed!$C$2:$C$10,0)),INDEX(Parsed!$M$2:$M$190,(MATCH(B77,Data!$B$2:$B$22,0)-1)*9+MATCH("Ethicity",Parsed!$C$2:$C$10,0))*INDEX(Parsed!$I$2:$I$190,(MATCH(A77,Data!$B$2:$B$22,0)-1)*9+MATCH("Ethicity",Parsed!$C$2:$C$10,0)),0)+IF(INDEX(Parsed!$K$2:$K$190,(MATCH(B77,Data!$B$2:$B$22,0)-1)*9+MATCH("Past",Parsed!$C$2:$C$10,0))=INDEX(Parsed!$H$2:$H$190,(MATCH(A77,Data!$B$2:$B$22,0)-1)*9+MATCH("Past",Parsed!$C$2:$C$10,0)),INDEX(Parsed!$M$2:$M$190,(MATCH(B77,Data!$B$2:$B$22,0)-1)*9+MATCH("Past",Parsed!$C$2:$C$10,0))*INDEX(Parsed!$I$2:$I$190,(MATCH(A77,Data!$B$2:$B$22,0)-1)*9+MATCH("Past",Parsed!$C$2:$C$10,0)),0)+IF(INDEX(Parsed!$K$2:$K$190,(MATCH(B77,Data!$B$2:$B$22,0)-1)*9+MATCH("D/S",Parsed!$C$2:$C$10,0))=INDEX(Parsed!$H$2:$H$190,(MATCH(A77,Data!$B$2:$B$22,0)-1)*9+MATCH("D/S",Parsed!$C$2:$C$10,0)),INDEX(Parsed!$M$2:$M$190,(MATCH(B77,Data!$B$2:$B$22,0)-1)*9+MATCH("D/S",Parsed!$C$2:$C$10,0))*INDEX(Parsed!$I$2:$I$190,(MATCH(A77,Data!$B$2:$B$22,0)-1)*9+MATCH("D/S",Parsed!$C$2:$C$10,0)),0)+IF(INDEX(Parsed!$K$2:$K$190,(MATCH(B77,Data!$B$2:$B$22,0)-1)*9+MATCH("True/kind",Parsed!$C$2:$C$10,0))=INDEX(Parsed!$H$2:$H$190,(MATCH(A77,Data!$B$2:$B$22,0)-1)*9+MATCH("True/kind",Parsed!$C$2:$C$10,0)),INDEX(Parsed!$M$2:$M$190,(MATCH(B77,Data!$B$2:$B$22,0)-1)*9+MATCH("True/kind",Parsed!$C$2:$C$10,0))*INDEX(Parsed!$I$2:$I$190,(MATCH(A77,Data!$B$2:$B$22,0)-1)*9+MATCH("True/kind",Parsed!$C$2:$C$10,0)),0)+IF(INDEX(Parsed!$K$2:$K$190,(MATCH(B77,Data!$B$2:$B$22,0)-1)*9+MATCH("Animal",Parsed!$C$2:$C$10,0))=INDEX(Parsed!$H$2:$H$190,(MATCH(A77,Data!$B$2:$B$22,0)-1)*9+MATCH("Animal",Parsed!$C$2:$C$10,0)),INDEX(Parsed!$M$2:$M$190,(MATCH(B77,Data!$B$2:$B$22,0)-1)*9+MATCH("Animal",Parsed!$C$2:$C$10,0))*INDEX(Parsed!$I$2:$I$190,(MATCH(A77,Data!$B$2:$B$22,0)-1)*9+MATCH("Animal",Parsed!$C$2:$C$10,0)),0),0)</x:f>
        <x:v>67.5</x:v>
      </x:c>
      <x:c r="D77" s="11" t="n">
        <x:f>IFERROR(IF(INDEX(Parsed!$K$2:$K$190,(MATCH(A77,Data!$B$2:$B$22,0)-1)*9+MATCH("God",Parsed!$C$2:$C$10,0))=INDEX(Parsed!$H$2:$H$190,(MATCH(B77,Data!$B$2:$B$22,0)-1)*9+MATCH("God",Parsed!$C$2:$C$10,0)),INDEX(Parsed!$M$2:$M$190,(MATCH(A77,Data!$B$2:$B$22,0)-1)*9+MATCH("God",Parsed!$C$2:$C$10,0))*INDEX(Parsed!$I$2:$I$190,(MATCH(B77,Data!$B$2:$B$22,0)-1)*9+MATCH("God",Parsed!$C$2:$C$10,0)),0)+IF(INDEX(Parsed!$K$2:$K$190,(MATCH(A77,Data!$B$2:$B$22,0)-1)*9+MATCH("Politics",Parsed!$C$2:$C$10,0))=INDEX(Parsed!$H$2:$H$190,(MATCH(B77,Data!$B$2:$B$22,0)-1)*9+MATCH("Politics",Parsed!$C$2:$C$10,0)),INDEX(Parsed!$M$2:$M$190,(MATCH(A77,Data!$B$2:$B$22,0)-1)*9+MATCH("Politics",Parsed!$C$2:$C$10,0))*INDEX(Parsed!$I$2:$I$190,(MATCH(B77,Data!$B$2:$B$22,0)-1)*9+MATCH("Politics",Parsed!$C$2:$C$10,0)),0)+IF(INDEX(Parsed!$K$2:$K$190,(MATCH(A77,Data!$B$2:$B$22,0)-1)*9+MATCH("Marriage",Parsed!$C$2:$C$10,0))=INDEX(Parsed!$H$2:$H$190,(MATCH(B77,Data!$B$2:$B$22,0)-1)*9+MATCH("Marriage",Parsed!$C$2:$C$10,0)),INDEX(Parsed!$M$2:$M$190,(MATCH(A77,Data!$B$2:$B$22,0)-1)*9+MATCH("Marriage",Parsed!$C$2:$C$10,0))*INDEX(Parsed!$I$2:$I$190,(MATCH(B77,Data!$B$2:$B$22,0)-1)*9+MATCH("Marriage",Parsed!$C$2:$C$10,0)),0)+IF(INDEX(Parsed!$K$2:$K$190,(MATCH(A77,Data!$B$2:$B$22,0)-1)*9+MATCH("Children",Parsed!$C$2:$C$10,0))=INDEX(Parsed!$H$2:$H$190,(MATCH(B77,Data!$B$2:$B$22,0)-1)*9+MATCH("Children",Parsed!$C$2:$C$10,0)),INDEX(Parsed!$M$2:$M$190,(MATCH(A77,Data!$B$2:$B$22,0)-1)*9+MATCH("Children",Parsed!$C$2:$C$10,0))*INDEX(Parsed!$I$2:$I$190,(MATCH(B77,Data!$B$2:$B$22,0)-1)*9+MATCH("Children",Parsed!$C$2:$C$10,0)),0)+IF(INDEX(Parsed!$K$2:$K$190,(MATCH(A77,Data!$B$2:$B$22,0)-1)*9+MATCH("Ethicity",Parsed!$C$2:$C$10,0))=INDEX(Parsed!$H$2:$H$190,(MATCH(B77,Data!$B$2:$B$22,0)-1)*9+MATCH("Ethicity",Parsed!$C$2:$C$10,0)),INDEX(Parsed!$M$2:$M$190,(MATCH(A77,Data!$B$2:$B$22,0)-1)*9+MATCH("Ethicity",Parsed!$C$2:$C$10,0))*INDEX(Parsed!$I$2:$I$190,(MATCH(B77,Data!$B$2:$B$22,0)-1)*9+MATCH("Ethicity",Parsed!$C$2:$C$10,0)),0)+IF(INDEX(Parsed!$K$2:$K$190,(MATCH(A77,Data!$B$2:$B$22,0)-1)*9+MATCH("Past",Parsed!$C$2:$C$10,0))=INDEX(Parsed!$H$2:$H$190,(MATCH(B77,Data!$B$2:$B$22,0)-1)*9+MATCH("Past",Parsed!$C$2:$C$10,0)),INDEX(Parsed!$M$2:$M$190,(MATCH(A77,Data!$B$2:$B$22,0)-1)*9+MATCH("Past",Parsed!$C$2:$C$10,0))*INDEX(Parsed!$I$2:$I$190,(MATCH(B77,Data!$B$2:$B$22,0)-1)*9+MATCH("Past",Parsed!$C$2:$C$10,0)),0)+IF(INDEX(Parsed!$K$2:$K$190,(MATCH(A77,Data!$B$2:$B$22,0)-1)*9+MATCH("D/S",Parsed!$C$2:$C$10,0))=INDEX(Parsed!$H$2:$H$190,(MATCH(B77,Data!$B$2:$B$22,0)-1)*9+MATCH("D/S",Parsed!$C$2:$C$10,0)),INDEX(Parsed!$M$2:$M$190,(MATCH(A77,Data!$B$2:$B$22,0)-1)*9+MATCH("D/S",Parsed!$C$2:$C$10,0))*INDEX(Parsed!$I$2:$I$190,(MATCH(B77,Data!$B$2:$B$22,0)-1)*9+MATCH("D/S",Parsed!$C$2:$C$10,0)),0)+IF(INDEX(Parsed!$K$2:$K$190,(MATCH(A77,Data!$B$2:$B$22,0)-1)*9+MATCH("True/kind",Parsed!$C$2:$C$10,0))=INDEX(Parsed!$H$2:$H$190,(MATCH(B77,Data!$B$2:$B$22,0)-1)*9+MATCH("True/kind",Parsed!$C$2:$C$10,0)),INDEX(Parsed!$M$2:$M$190,(MATCH(A77,Data!$B$2:$B$22,0)-1)*9+MATCH("True/kind",Parsed!$C$2:$C$10,0))*INDEX(Parsed!$I$2:$I$190,(MATCH(B77,Data!$B$2:$B$22,0)-1)*9+MATCH("True/kind",Parsed!$C$2:$C$10,0)),0)+IF(INDEX(Parsed!$K$2:$K$190,(MATCH(A77,Data!$B$2:$B$22,0)-1)*9+MATCH("Animal",Parsed!$C$2:$C$10,0))=INDEX(Parsed!$H$2:$H$190,(MATCH(B77,Data!$B$2:$B$22,0)-1)*9+MATCH("Animal",Parsed!$C$2:$C$10,0)),INDEX(Parsed!$M$2:$M$190,(MATCH(A77,Data!$B$2:$B$22,0)-1)*9+MATCH("Animal",Parsed!$C$2:$C$10,0))*INDEX(Parsed!$I$2:$I$190,(MATCH(B77,Data!$B$2:$B$22,0)-1)*9+MATCH("Animal",Parsed!$C$2:$C$10,0)),0),0)</x:f>
        <x:v>70</x:v>
      </x:c>
      <x:c r="E77" s="11" t="n">
        <x:f>SQRT(C77*D77)</x:f>
        <x:v>68.7386354243376</x:v>
      </x:c>
    </x:row>
    <x:row r="78">
      <x:c r="A78" t="str">
        <x:v>jt</x:v>
      </x:c>
      <x:c r="B78" t="str">
        <x:v>lydia</x:v>
      </x:c>
      <x:c r="C78" s="11" t="n">
        <x:f>IFERROR(IF(INDEX(Parsed!$K$2:$K$190,(MATCH(B78,Data!$B$2:$B$22,0)-1)*9+MATCH("God",Parsed!$C$2:$C$10,0))=INDEX(Parsed!$H$2:$H$190,(MATCH(A78,Data!$B$2:$B$22,0)-1)*9+MATCH("God",Parsed!$C$2:$C$10,0)),INDEX(Parsed!$M$2:$M$190,(MATCH(B78,Data!$B$2:$B$22,0)-1)*9+MATCH("God",Parsed!$C$2:$C$10,0))*INDEX(Parsed!$I$2:$I$190,(MATCH(A78,Data!$B$2:$B$22,0)-1)*9+MATCH("God",Parsed!$C$2:$C$10,0)),0)+IF(INDEX(Parsed!$K$2:$K$190,(MATCH(B78,Data!$B$2:$B$22,0)-1)*9+MATCH("Politics",Parsed!$C$2:$C$10,0))=INDEX(Parsed!$H$2:$H$190,(MATCH(A78,Data!$B$2:$B$22,0)-1)*9+MATCH("Politics",Parsed!$C$2:$C$10,0)),INDEX(Parsed!$M$2:$M$190,(MATCH(B78,Data!$B$2:$B$22,0)-1)*9+MATCH("Politics",Parsed!$C$2:$C$10,0))*INDEX(Parsed!$I$2:$I$190,(MATCH(A78,Data!$B$2:$B$22,0)-1)*9+MATCH("Politics",Parsed!$C$2:$C$10,0)),0)+IF(INDEX(Parsed!$K$2:$K$190,(MATCH(B78,Data!$B$2:$B$22,0)-1)*9+MATCH("Marriage",Parsed!$C$2:$C$10,0))=INDEX(Parsed!$H$2:$H$190,(MATCH(A78,Data!$B$2:$B$22,0)-1)*9+MATCH("Marriage",Parsed!$C$2:$C$10,0)),INDEX(Parsed!$M$2:$M$190,(MATCH(B78,Data!$B$2:$B$22,0)-1)*9+MATCH("Marriage",Parsed!$C$2:$C$10,0))*INDEX(Parsed!$I$2:$I$190,(MATCH(A78,Data!$B$2:$B$22,0)-1)*9+MATCH("Marriage",Parsed!$C$2:$C$10,0)),0)+IF(INDEX(Parsed!$K$2:$K$190,(MATCH(B78,Data!$B$2:$B$22,0)-1)*9+MATCH("Children",Parsed!$C$2:$C$10,0))=INDEX(Parsed!$H$2:$H$190,(MATCH(A78,Data!$B$2:$B$22,0)-1)*9+MATCH("Children",Parsed!$C$2:$C$10,0)),INDEX(Parsed!$M$2:$M$190,(MATCH(B78,Data!$B$2:$B$22,0)-1)*9+MATCH("Children",Parsed!$C$2:$C$10,0))*INDEX(Parsed!$I$2:$I$190,(MATCH(A78,Data!$B$2:$B$22,0)-1)*9+MATCH("Children",Parsed!$C$2:$C$10,0)),0)+IF(INDEX(Parsed!$K$2:$K$190,(MATCH(B78,Data!$B$2:$B$22,0)-1)*9+MATCH("Ethicity",Parsed!$C$2:$C$10,0))=INDEX(Parsed!$H$2:$H$190,(MATCH(A78,Data!$B$2:$B$22,0)-1)*9+MATCH("Ethicity",Parsed!$C$2:$C$10,0)),INDEX(Parsed!$M$2:$M$190,(MATCH(B78,Data!$B$2:$B$22,0)-1)*9+MATCH("Ethicity",Parsed!$C$2:$C$10,0))*INDEX(Parsed!$I$2:$I$190,(MATCH(A78,Data!$B$2:$B$22,0)-1)*9+MATCH("Ethicity",Parsed!$C$2:$C$10,0)),0)+IF(INDEX(Parsed!$K$2:$K$190,(MATCH(B78,Data!$B$2:$B$22,0)-1)*9+MATCH("Past",Parsed!$C$2:$C$10,0))=INDEX(Parsed!$H$2:$H$190,(MATCH(A78,Data!$B$2:$B$22,0)-1)*9+MATCH("Past",Parsed!$C$2:$C$10,0)),INDEX(Parsed!$M$2:$M$190,(MATCH(B78,Data!$B$2:$B$22,0)-1)*9+MATCH("Past",Parsed!$C$2:$C$10,0))*INDEX(Parsed!$I$2:$I$190,(MATCH(A78,Data!$B$2:$B$22,0)-1)*9+MATCH("Past",Parsed!$C$2:$C$10,0)),0)+IF(INDEX(Parsed!$K$2:$K$190,(MATCH(B78,Data!$B$2:$B$22,0)-1)*9+MATCH("D/S",Parsed!$C$2:$C$10,0))=INDEX(Parsed!$H$2:$H$190,(MATCH(A78,Data!$B$2:$B$22,0)-1)*9+MATCH("D/S",Parsed!$C$2:$C$10,0)),INDEX(Parsed!$M$2:$M$190,(MATCH(B78,Data!$B$2:$B$22,0)-1)*9+MATCH("D/S",Parsed!$C$2:$C$10,0))*INDEX(Parsed!$I$2:$I$190,(MATCH(A78,Data!$B$2:$B$22,0)-1)*9+MATCH("D/S",Parsed!$C$2:$C$10,0)),0)+IF(INDEX(Parsed!$K$2:$K$190,(MATCH(B78,Data!$B$2:$B$22,0)-1)*9+MATCH("True/kind",Parsed!$C$2:$C$10,0))=INDEX(Parsed!$H$2:$H$190,(MATCH(A78,Data!$B$2:$B$22,0)-1)*9+MATCH("True/kind",Parsed!$C$2:$C$10,0)),INDEX(Parsed!$M$2:$M$190,(MATCH(B78,Data!$B$2:$B$22,0)-1)*9+MATCH("True/kind",Parsed!$C$2:$C$10,0))*INDEX(Parsed!$I$2:$I$190,(MATCH(A78,Data!$B$2:$B$22,0)-1)*9+MATCH("True/kind",Parsed!$C$2:$C$10,0)),0)+IF(INDEX(Parsed!$K$2:$K$190,(MATCH(B78,Data!$B$2:$B$22,0)-1)*9+MATCH("Animal",Parsed!$C$2:$C$10,0))=INDEX(Parsed!$H$2:$H$190,(MATCH(A78,Data!$B$2:$B$22,0)-1)*9+MATCH("Animal",Parsed!$C$2:$C$10,0)),INDEX(Parsed!$M$2:$M$190,(MATCH(B78,Data!$B$2:$B$22,0)-1)*9+MATCH("Animal",Parsed!$C$2:$C$10,0))*INDEX(Parsed!$I$2:$I$190,(MATCH(A78,Data!$B$2:$B$22,0)-1)*9+MATCH("Animal",Parsed!$C$2:$C$10,0)),0),0)</x:f>
        <x:v>33.75</x:v>
      </x:c>
      <x:c r="D78" s="11" t="n">
        <x:f>IFERROR(IF(INDEX(Parsed!$K$2:$K$190,(MATCH(A78,Data!$B$2:$B$22,0)-1)*9+MATCH("God",Parsed!$C$2:$C$10,0))=INDEX(Parsed!$H$2:$H$190,(MATCH(B78,Data!$B$2:$B$22,0)-1)*9+MATCH("God",Parsed!$C$2:$C$10,0)),INDEX(Parsed!$M$2:$M$190,(MATCH(A78,Data!$B$2:$B$22,0)-1)*9+MATCH("God",Parsed!$C$2:$C$10,0))*INDEX(Parsed!$I$2:$I$190,(MATCH(B78,Data!$B$2:$B$22,0)-1)*9+MATCH("God",Parsed!$C$2:$C$10,0)),0)+IF(INDEX(Parsed!$K$2:$K$190,(MATCH(A78,Data!$B$2:$B$22,0)-1)*9+MATCH("Politics",Parsed!$C$2:$C$10,0))=INDEX(Parsed!$H$2:$H$190,(MATCH(B78,Data!$B$2:$B$22,0)-1)*9+MATCH("Politics",Parsed!$C$2:$C$10,0)),INDEX(Parsed!$M$2:$M$190,(MATCH(A78,Data!$B$2:$B$22,0)-1)*9+MATCH("Politics",Parsed!$C$2:$C$10,0))*INDEX(Parsed!$I$2:$I$190,(MATCH(B78,Data!$B$2:$B$22,0)-1)*9+MATCH("Politics",Parsed!$C$2:$C$10,0)),0)+IF(INDEX(Parsed!$K$2:$K$190,(MATCH(A78,Data!$B$2:$B$22,0)-1)*9+MATCH("Marriage",Parsed!$C$2:$C$10,0))=INDEX(Parsed!$H$2:$H$190,(MATCH(B78,Data!$B$2:$B$22,0)-1)*9+MATCH("Marriage",Parsed!$C$2:$C$10,0)),INDEX(Parsed!$M$2:$M$190,(MATCH(A78,Data!$B$2:$B$22,0)-1)*9+MATCH("Marriage",Parsed!$C$2:$C$10,0))*INDEX(Parsed!$I$2:$I$190,(MATCH(B78,Data!$B$2:$B$22,0)-1)*9+MATCH("Marriage",Parsed!$C$2:$C$10,0)),0)+IF(INDEX(Parsed!$K$2:$K$190,(MATCH(A78,Data!$B$2:$B$22,0)-1)*9+MATCH("Children",Parsed!$C$2:$C$10,0))=INDEX(Parsed!$H$2:$H$190,(MATCH(B78,Data!$B$2:$B$22,0)-1)*9+MATCH("Children",Parsed!$C$2:$C$10,0)),INDEX(Parsed!$M$2:$M$190,(MATCH(A78,Data!$B$2:$B$22,0)-1)*9+MATCH("Children",Parsed!$C$2:$C$10,0))*INDEX(Parsed!$I$2:$I$190,(MATCH(B78,Data!$B$2:$B$22,0)-1)*9+MATCH("Children",Parsed!$C$2:$C$10,0)),0)+IF(INDEX(Parsed!$K$2:$K$190,(MATCH(A78,Data!$B$2:$B$22,0)-1)*9+MATCH("Ethicity",Parsed!$C$2:$C$10,0))=INDEX(Parsed!$H$2:$H$190,(MATCH(B78,Data!$B$2:$B$22,0)-1)*9+MATCH("Ethicity",Parsed!$C$2:$C$10,0)),INDEX(Parsed!$M$2:$M$190,(MATCH(A78,Data!$B$2:$B$22,0)-1)*9+MATCH("Ethicity",Parsed!$C$2:$C$10,0))*INDEX(Parsed!$I$2:$I$190,(MATCH(B78,Data!$B$2:$B$22,0)-1)*9+MATCH("Ethicity",Parsed!$C$2:$C$10,0)),0)+IF(INDEX(Parsed!$K$2:$K$190,(MATCH(A78,Data!$B$2:$B$22,0)-1)*9+MATCH("Past",Parsed!$C$2:$C$10,0))=INDEX(Parsed!$H$2:$H$190,(MATCH(B78,Data!$B$2:$B$22,0)-1)*9+MATCH("Past",Parsed!$C$2:$C$10,0)),INDEX(Parsed!$M$2:$M$190,(MATCH(A78,Data!$B$2:$B$22,0)-1)*9+MATCH("Past",Parsed!$C$2:$C$10,0))*INDEX(Parsed!$I$2:$I$190,(MATCH(B78,Data!$B$2:$B$22,0)-1)*9+MATCH("Past",Parsed!$C$2:$C$10,0)),0)+IF(INDEX(Parsed!$K$2:$K$190,(MATCH(A78,Data!$B$2:$B$22,0)-1)*9+MATCH("D/S",Parsed!$C$2:$C$10,0))=INDEX(Parsed!$H$2:$H$190,(MATCH(B78,Data!$B$2:$B$22,0)-1)*9+MATCH("D/S",Parsed!$C$2:$C$10,0)),INDEX(Parsed!$M$2:$M$190,(MATCH(A78,Data!$B$2:$B$22,0)-1)*9+MATCH("D/S",Parsed!$C$2:$C$10,0))*INDEX(Parsed!$I$2:$I$190,(MATCH(B78,Data!$B$2:$B$22,0)-1)*9+MATCH("D/S",Parsed!$C$2:$C$10,0)),0)+IF(INDEX(Parsed!$K$2:$K$190,(MATCH(A78,Data!$B$2:$B$22,0)-1)*9+MATCH("True/kind",Parsed!$C$2:$C$10,0))=INDEX(Parsed!$H$2:$H$190,(MATCH(B78,Data!$B$2:$B$22,0)-1)*9+MATCH("True/kind",Parsed!$C$2:$C$10,0)),INDEX(Parsed!$M$2:$M$190,(MATCH(A78,Data!$B$2:$B$22,0)-1)*9+MATCH("True/kind",Parsed!$C$2:$C$10,0))*INDEX(Parsed!$I$2:$I$190,(MATCH(B78,Data!$B$2:$B$22,0)-1)*9+MATCH("True/kind",Parsed!$C$2:$C$10,0)),0)+IF(INDEX(Parsed!$K$2:$K$190,(MATCH(A78,Data!$B$2:$B$22,0)-1)*9+MATCH("Animal",Parsed!$C$2:$C$10,0))=INDEX(Parsed!$H$2:$H$190,(MATCH(B78,Data!$B$2:$B$22,0)-1)*9+MATCH("Animal",Parsed!$C$2:$C$10,0)),INDEX(Parsed!$M$2:$M$190,(MATCH(A78,Data!$B$2:$B$22,0)-1)*9+MATCH("Animal",Parsed!$C$2:$C$10,0))*INDEX(Parsed!$I$2:$I$190,(MATCH(B78,Data!$B$2:$B$22,0)-1)*9+MATCH("Animal",Parsed!$C$2:$C$10,0)),0),0)</x:f>
        <x:v>37.5</x:v>
      </x:c>
      <x:c r="E78" s="11" t="n">
        <x:f>SQRT(C78*D78)</x:f>
        <x:v>35.57562367689427</x:v>
      </x:c>
    </x:row>
    <x:row r="79">
      <x:c r="A79" t="str">
        <x:v>leo</x:v>
      </x:c>
      <x:c r="B79" t="str">
        <x:v>jasmine</x:v>
      </x:c>
      <x:c r="C79" s="11" t="n">
        <x:f>IFERROR(IF(INDEX(Parsed!$K$2:$K$190,(MATCH(B79,Data!$B$2:$B$22,0)-1)*9+MATCH("God",Parsed!$C$2:$C$10,0))=INDEX(Parsed!$H$2:$H$190,(MATCH(A79,Data!$B$2:$B$22,0)-1)*9+MATCH("God",Parsed!$C$2:$C$10,0)),INDEX(Parsed!$M$2:$M$190,(MATCH(B79,Data!$B$2:$B$22,0)-1)*9+MATCH("God",Parsed!$C$2:$C$10,0))*INDEX(Parsed!$I$2:$I$190,(MATCH(A79,Data!$B$2:$B$22,0)-1)*9+MATCH("God",Parsed!$C$2:$C$10,0)),0)+IF(INDEX(Parsed!$K$2:$K$190,(MATCH(B79,Data!$B$2:$B$22,0)-1)*9+MATCH("Politics",Parsed!$C$2:$C$10,0))=INDEX(Parsed!$H$2:$H$190,(MATCH(A79,Data!$B$2:$B$22,0)-1)*9+MATCH("Politics",Parsed!$C$2:$C$10,0)),INDEX(Parsed!$M$2:$M$190,(MATCH(B79,Data!$B$2:$B$22,0)-1)*9+MATCH("Politics",Parsed!$C$2:$C$10,0))*INDEX(Parsed!$I$2:$I$190,(MATCH(A79,Data!$B$2:$B$22,0)-1)*9+MATCH("Politics",Parsed!$C$2:$C$10,0)),0)+IF(INDEX(Parsed!$K$2:$K$190,(MATCH(B79,Data!$B$2:$B$22,0)-1)*9+MATCH("Marriage",Parsed!$C$2:$C$10,0))=INDEX(Parsed!$H$2:$H$190,(MATCH(A79,Data!$B$2:$B$22,0)-1)*9+MATCH("Marriage",Parsed!$C$2:$C$10,0)),INDEX(Parsed!$M$2:$M$190,(MATCH(B79,Data!$B$2:$B$22,0)-1)*9+MATCH("Marriage",Parsed!$C$2:$C$10,0))*INDEX(Parsed!$I$2:$I$190,(MATCH(A79,Data!$B$2:$B$22,0)-1)*9+MATCH("Marriage",Parsed!$C$2:$C$10,0)),0)+IF(INDEX(Parsed!$K$2:$K$190,(MATCH(B79,Data!$B$2:$B$22,0)-1)*9+MATCH("Children",Parsed!$C$2:$C$10,0))=INDEX(Parsed!$H$2:$H$190,(MATCH(A79,Data!$B$2:$B$22,0)-1)*9+MATCH("Children",Parsed!$C$2:$C$10,0)),INDEX(Parsed!$M$2:$M$190,(MATCH(B79,Data!$B$2:$B$22,0)-1)*9+MATCH("Children",Parsed!$C$2:$C$10,0))*INDEX(Parsed!$I$2:$I$190,(MATCH(A79,Data!$B$2:$B$22,0)-1)*9+MATCH("Children",Parsed!$C$2:$C$10,0)),0)+IF(INDEX(Parsed!$K$2:$K$190,(MATCH(B79,Data!$B$2:$B$22,0)-1)*9+MATCH("Ethicity",Parsed!$C$2:$C$10,0))=INDEX(Parsed!$H$2:$H$190,(MATCH(A79,Data!$B$2:$B$22,0)-1)*9+MATCH("Ethicity",Parsed!$C$2:$C$10,0)),INDEX(Parsed!$M$2:$M$190,(MATCH(B79,Data!$B$2:$B$22,0)-1)*9+MATCH("Ethicity",Parsed!$C$2:$C$10,0))*INDEX(Parsed!$I$2:$I$190,(MATCH(A79,Data!$B$2:$B$22,0)-1)*9+MATCH("Ethicity",Parsed!$C$2:$C$10,0)),0)+IF(INDEX(Parsed!$K$2:$K$190,(MATCH(B79,Data!$B$2:$B$22,0)-1)*9+MATCH("Past",Parsed!$C$2:$C$10,0))=INDEX(Parsed!$H$2:$H$190,(MATCH(A79,Data!$B$2:$B$22,0)-1)*9+MATCH("Past",Parsed!$C$2:$C$10,0)),INDEX(Parsed!$M$2:$M$190,(MATCH(B79,Data!$B$2:$B$22,0)-1)*9+MATCH("Past",Parsed!$C$2:$C$10,0))*INDEX(Parsed!$I$2:$I$190,(MATCH(A79,Data!$B$2:$B$22,0)-1)*9+MATCH("Past",Parsed!$C$2:$C$10,0)),0)+IF(INDEX(Parsed!$K$2:$K$190,(MATCH(B79,Data!$B$2:$B$22,0)-1)*9+MATCH("D/S",Parsed!$C$2:$C$10,0))=INDEX(Parsed!$H$2:$H$190,(MATCH(A79,Data!$B$2:$B$22,0)-1)*9+MATCH("D/S",Parsed!$C$2:$C$10,0)),INDEX(Parsed!$M$2:$M$190,(MATCH(B79,Data!$B$2:$B$22,0)-1)*9+MATCH("D/S",Parsed!$C$2:$C$10,0))*INDEX(Parsed!$I$2:$I$190,(MATCH(A79,Data!$B$2:$B$22,0)-1)*9+MATCH("D/S",Parsed!$C$2:$C$10,0)),0)+IF(INDEX(Parsed!$K$2:$K$190,(MATCH(B79,Data!$B$2:$B$22,0)-1)*9+MATCH("True/kind",Parsed!$C$2:$C$10,0))=INDEX(Parsed!$H$2:$H$190,(MATCH(A79,Data!$B$2:$B$22,0)-1)*9+MATCH("True/kind",Parsed!$C$2:$C$10,0)),INDEX(Parsed!$M$2:$M$190,(MATCH(B79,Data!$B$2:$B$22,0)-1)*9+MATCH("True/kind",Parsed!$C$2:$C$10,0))*INDEX(Parsed!$I$2:$I$190,(MATCH(A79,Data!$B$2:$B$22,0)-1)*9+MATCH("True/kind",Parsed!$C$2:$C$10,0)),0)+IF(INDEX(Parsed!$K$2:$K$190,(MATCH(B79,Data!$B$2:$B$22,0)-1)*9+MATCH("Animal",Parsed!$C$2:$C$10,0))=INDEX(Parsed!$H$2:$H$190,(MATCH(A79,Data!$B$2:$B$22,0)-1)*9+MATCH("Animal",Parsed!$C$2:$C$10,0)),INDEX(Parsed!$M$2:$M$190,(MATCH(B79,Data!$B$2:$B$22,0)-1)*9+MATCH("Animal",Parsed!$C$2:$C$10,0))*INDEX(Parsed!$I$2:$I$190,(MATCH(A79,Data!$B$2:$B$22,0)-1)*9+MATCH("Animal",Parsed!$C$2:$C$10,0)),0),0)</x:f>
        <x:v>22.5</x:v>
      </x:c>
      <x:c r="D79" s="11" t="n">
        <x:f>IFERROR(IF(INDEX(Parsed!$K$2:$K$190,(MATCH(A79,Data!$B$2:$B$22,0)-1)*9+MATCH("God",Parsed!$C$2:$C$10,0))=INDEX(Parsed!$H$2:$H$190,(MATCH(B79,Data!$B$2:$B$22,0)-1)*9+MATCH("God",Parsed!$C$2:$C$10,0)),INDEX(Parsed!$M$2:$M$190,(MATCH(A79,Data!$B$2:$B$22,0)-1)*9+MATCH("God",Parsed!$C$2:$C$10,0))*INDEX(Parsed!$I$2:$I$190,(MATCH(B79,Data!$B$2:$B$22,0)-1)*9+MATCH("God",Parsed!$C$2:$C$10,0)),0)+IF(INDEX(Parsed!$K$2:$K$190,(MATCH(A79,Data!$B$2:$B$22,0)-1)*9+MATCH("Politics",Parsed!$C$2:$C$10,0))=INDEX(Parsed!$H$2:$H$190,(MATCH(B79,Data!$B$2:$B$22,0)-1)*9+MATCH("Politics",Parsed!$C$2:$C$10,0)),INDEX(Parsed!$M$2:$M$190,(MATCH(A79,Data!$B$2:$B$22,0)-1)*9+MATCH("Politics",Parsed!$C$2:$C$10,0))*INDEX(Parsed!$I$2:$I$190,(MATCH(B79,Data!$B$2:$B$22,0)-1)*9+MATCH("Politics",Parsed!$C$2:$C$10,0)),0)+IF(INDEX(Parsed!$K$2:$K$190,(MATCH(A79,Data!$B$2:$B$22,0)-1)*9+MATCH("Marriage",Parsed!$C$2:$C$10,0))=INDEX(Parsed!$H$2:$H$190,(MATCH(B79,Data!$B$2:$B$22,0)-1)*9+MATCH("Marriage",Parsed!$C$2:$C$10,0)),INDEX(Parsed!$M$2:$M$190,(MATCH(A79,Data!$B$2:$B$22,0)-1)*9+MATCH("Marriage",Parsed!$C$2:$C$10,0))*INDEX(Parsed!$I$2:$I$190,(MATCH(B79,Data!$B$2:$B$22,0)-1)*9+MATCH("Marriage",Parsed!$C$2:$C$10,0)),0)+IF(INDEX(Parsed!$K$2:$K$190,(MATCH(A79,Data!$B$2:$B$22,0)-1)*9+MATCH("Children",Parsed!$C$2:$C$10,0))=INDEX(Parsed!$H$2:$H$190,(MATCH(B79,Data!$B$2:$B$22,0)-1)*9+MATCH("Children",Parsed!$C$2:$C$10,0)),INDEX(Parsed!$M$2:$M$190,(MATCH(A79,Data!$B$2:$B$22,0)-1)*9+MATCH("Children",Parsed!$C$2:$C$10,0))*INDEX(Parsed!$I$2:$I$190,(MATCH(B79,Data!$B$2:$B$22,0)-1)*9+MATCH("Children",Parsed!$C$2:$C$10,0)),0)+IF(INDEX(Parsed!$K$2:$K$190,(MATCH(A79,Data!$B$2:$B$22,0)-1)*9+MATCH("Ethicity",Parsed!$C$2:$C$10,0))=INDEX(Parsed!$H$2:$H$190,(MATCH(B79,Data!$B$2:$B$22,0)-1)*9+MATCH("Ethicity",Parsed!$C$2:$C$10,0)),INDEX(Parsed!$M$2:$M$190,(MATCH(A79,Data!$B$2:$B$22,0)-1)*9+MATCH("Ethicity",Parsed!$C$2:$C$10,0))*INDEX(Parsed!$I$2:$I$190,(MATCH(B79,Data!$B$2:$B$22,0)-1)*9+MATCH("Ethicity",Parsed!$C$2:$C$10,0)),0)+IF(INDEX(Parsed!$K$2:$K$190,(MATCH(A79,Data!$B$2:$B$22,0)-1)*9+MATCH("Past",Parsed!$C$2:$C$10,0))=INDEX(Parsed!$H$2:$H$190,(MATCH(B79,Data!$B$2:$B$22,0)-1)*9+MATCH("Past",Parsed!$C$2:$C$10,0)),INDEX(Parsed!$M$2:$M$190,(MATCH(A79,Data!$B$2:$B$22,0)-1)*9+MATCH("Past",Parsed!$C$2:$C$10,0))*INDEX(Parsed!$I$2:$I$190,(MATCH(B79,Data!$B$2:$B$22,0)-1)*9+MATCH("Past",Parsed!$C$2:$C$10,0)),0)+IF(INDEX(Parsed!$K$2:$K$190,(MATCH(A79,Data!$B$2:$B$22,0)-1)*9+MATCH("D/S",Parsed!$C$2:$C$10,0))=INDEX(Parsed!$H$2:$H$190,(MATCH(B79,Data!$B$2:$B$22,0)-1)*9+MATCH("D/S",Parsed!$C$2:$C$10,0)),INDEX(Parsed!$M$2:$M$190,(MATCH(A79,Data!$B$2:$B$22,0)-1)*9+MATCH("D/S",Parsed!$C$2:$C$10,0))*INDEX(Parsed!$I$2:$I$190,(MATCH(B79,Data!$B$2:$B$22,0)-1)*9+MATCH("D/S",Parsed!$C$2:$C$10,0)),0)+IF(INDEX(Parsed!$K$2:$K$190,(MATCH(A79,Data!$B$2:$B$22,0)-1)*9+MATCH("True/kind",Parsed!$C$2:$C$10,0))=INDEX(Parsed!$H$2:$H$190,(MATCH(B79,Data!$B$2:$B$22,0)-1)*9+MATCH("True/kind",Parsed!$C$2:$C$10,0)),INDEX(Parsed!$M$2:$M$190,(MATCH(A79,Data!$B$2:$B$22,0)-1)*9+MATCH("True/kind",Parsed!$C$2:$C$10,0))*INDEX(Parsed!$I$2:$I$190,(MATCH(B79,Data!$B$2:$B$22,0)-1)*9+MATCH("True/kind",Parsed!$C$2:$C$10,0)),0)+IF(INDEX(Parsed!$K$2:$K$190,(MATCH(A79,Data!$B$2:$B$22,0)-1)*9+MATCH("Animal",Parsed!$C$2:$C$10,0))=INDEX(Parsed!$H$2:$H$190,(MATCH(B79,Data!$B$2:$B$22,0)-1)*9+MATCH("Animal",Parsed!$C$2:$C$10,0)),INDEX(Parsed!$M$2:$M$190,(MATCH(A79,Data!$B$2:$B$22,0)-1)*9+MATCH("Animal",Parsed!$C$2:$C$10,0))*INDEX(Parsed!$I$2:$I$190,(MATCH(B79,Data!$B$2:$B$22,0)-1)*9+MATCH("Animal",Parsed!$C$2:$C$10,0)),0),0)</x:f>
        <x:v>20</x:v>
      </x:c>
      <x:c r="E79" s="11" t="n">
        <x:f>SQRT(C79*D79)</x:f>
        <x:v>21.213203435596427</x:v>
      </x:c>
    </x:row>
    <x:row r="80">
      <x:c r="A80" t="str">
        <x:v>leo</x:v>
      </x:c>
      <x:c r="B80" t="str">
        <x:v>cathleen</x:v>
      </x:c>
      <x:c r="C80" s="11" t="n">
        <x:f>IFERROR(IF(INDEX(Parsed!$K$2:$K$190,(MATCH(B80,Data!$B$2:$B$22,0)-1)*9+MATCH("God",Parsed!$C$2:$C$10,0))=INDEX(Parsed!$H$2:$H$190,(MATCH(A80,Data!$B$2:$B$22,0)-1)*9+MATCH("God",Parsed!$C$2:$C$10,0)),INDEX(Parsed!$M$2:$M$190,(MATCH(B80,Data!$B$2:$B$22,0)-1)*9+MATCH("God",Parsed!$C$2:$C$10,0))*INDEX(Parsed!$I$2:$I$190,(MATCH(A80,Data!$B$2:$B$22,0)-1)*9+MATCH("God",Parsed!$C$2:$C$10,0)),0)+IF(INDEX(Parsed!$K$2:$K$190,(MATCH(B80,Data!$B$2:$B$22,0)-1)*9+MATCH("Politics",Parsed!$C$2:$C$10,0))=INDEX(Parsed!$H$2:$H$190,(MATCH(A80,Data!$B$2:$B$22,0)-1)*9+MATCH("Politics",Parsed!$C$2:$C$10,0)),INDEX(Parsed!$M$2:$M$190,(MATCH(B80,Data!$B$2:$B$22,0)-1)*9+MATCH("Politics",Parsed!$C$2:$C$10,0))*INDEX(Parsed!$I$2:$I$190,(MATCH(A80,Data!$B$2:$B$22,0)-1)*9+MATCH("Politics",Parsed!$C$2:$C$10,0)),0)+IF(INDEX(Parsed!$K$2:$K$190,(MATCH(B80,Data!$B$2:$B$22,0)-1)*9+MATCH("Marriage",Parsed!$C$2:$C$10,0))=INDEX(Parsed!$H$2:$H$190,(MATCH(A80,Data!$B$2:$B$22,0)-1)*9+MATCH("Marriage",Parsed!$C$2:$C$10,0)),INDEX(Parsed!$M$2:$M$190,(MATCH(B80,Data!$B$2:$B$22,0)-1)*9+MATCH("Marriage",Parsed!$C$2:$C$10,0))*INDEX(Parsed!$I$2:$I$190,(MATCH(A80,Data!$B$2:$B$22,0)-1)*9+MATCH("Marriage",Parsed!$C$2:$C$10,0)),0)+IF(INDEX(Parsed!$K$2:$K$190,(MATCH(B80,Data!$B$2:$B$22,0)-1)*9+MATCH("Children",Parsed!$C$2:$C$10,0))=INDEX(Parsed!$H$2:$H$190,(MATCH(A80,Data!$B$2:$B$22,0)-1)*9+MATCH("Children",Parsed!$C$2:$C$10,0)),INDEX(Parsed!$M$2:$M$190,(MATCH(B80,Data!$B$2:$B$22,0)-1)*9+MATCH("Children",Parsed!$C$2:$C$10,0))*INDEX(Parsed!$I$2:$I$190,(MATCH(A80,Data!$B$2:$B$22,0)-1)*9+MATCH("Children",Parsed!$C$2:$C$10,0)),0)+IF(INDEX(Parsed!$K$2:$K$190,(MATCH(B80,Data!$B$2:$B$22,0)-1)*9+MATCH("Ethicity",Parsed!$C$2:$C$10,0))=INDEX(Parsed!$H$2:$H$190,(MATCH(A80,Data!$B$2:$B$22,0)-1)*9+MATCH("Ethicity",Parsed!$C$2:$C$10,0)),INDEX(Parsed!$M$2:$M$190,(MATCH(B80,Data!$B$2:$B$22,0)-1)*9+MATCH("Ethicity",Parsed!$C$2:$C$10,0))*INDEX(Parsed!$I$2:$I$190,(MATCH(A80,Data!$B$2:$B$22,0)-1)*9+MATCH("Ethicity",Parsed!$C$2:$C$10,0)),0)+IF(INDEX(Parsed!$K$2:$K$190,(MATCH(B80,Data!$B$2:$B$22,0)-1)*9+MATCH("Past",Parsed!$C$2:$C$10,0))=INDEX(Parsed!$H$2:$H$190,(MATCH(A80,Data!$B$2:$B$22,0)-1)*9+MATCH("Past",Parsed!$C$2:$C$10,0)),INDEX(Parsed!$M$2:$M$190,(MATCH(B80,Data!$B$2:$B$22,0)-1)*9+MATCH("Past",Parsed!$C$2:$C$10,0))*INDEX(Parsed!$I$2:$I$190,(MATCH(A80,Data!$B$2:$B$22,0)-1)*9+MATCH("Past",Parsed!$C$2:$C$10,0)),0)+IF(INDEX(Parsed!$K$2:$K$190,(MATCH(B80,Data!$B$2:$B$22,0)-1)*9+MATCH("D/S",Parsed!$C$2:$C$10,0))=INDEX(Parsed!$H$2:$H$190,(MATCH(A80,Data!$B$2:$B$22,0)-1)*9+MATCH("D/S",Parsed!$C$2:$C$10,0)),INDEX(Parsed!$M$2:$M$190,(MATCH(B80,Data!$B$2:$B$22,0)-1)*9+MATCH("D/S",Parsed!$C$2:$C$10,0))*INDEX(Parsed!$I$2:$I$190,(MATCH(A80,Data!$B$2:$B$22,0)-1)*9+MATCH("D/S",Parsed!$C$2:$C$10,0)),0)+IF(INDEX(Parsed!$K$2:$K$190,(MATCH(B80,Data!$B$2:$B$22,0)-1)*9+MATCH("True/kind",Parsed!$C$2:$C$10,0))=INDEX(Parsed!$H$2:$H$190,(MATCH(A80,Data!$B$2:$B$22,0)-1)*9+MATCH("True/kind",Parsed!$C$2:$C$10,0)),INDEX(Parsed!$M$2:$M$190,(MATCH(B80,Data!$B$2:$B$22,0)-1)*9+MATCH("True/kind",Parsed!$C$2:$C$10,0))*INDEX(Parsed!$I$2:$I$190,(MATCH(A80,Data!$B$2:$B$22,0)-1)*9+MATCH("True/kind",Parsed!$C$2:$C$10,0)),0)+IF(INDEX(Parsed!$K$2:$K$190,(MATCH(B80,Data!$B$2:$B$22,0)-1)*9+MATCH("Animal",Parsed!$C$2:$C$10,0))=INDEX(Parsed!$H$2:$H$190,(MATCH(A80,Data!$B$2:$B$22,0)-1)*9+MATCH("Animal",Parsed!$C$2:$C$10,0)),INDEX(Parsed!$M$2:$M$190,(MATCH(B80,Data!$B$2:$B$22,0)-1)*9+MATCH("Animal",Parsed!$C$2:$C$10,0))*INDEX(Parsed!$I$2:$I$190,(MATCH(A80,Data!$B$2:$B$22,0)-1)*9+MATCH("Animal",Parsed!$C$2:$C$10,0)),0),0)</x:f>
        <x:v>56.25</x:v>
      </x:c>
      <x:c r="D80" s="11" t="n">
        <x:f>IFERROR(IF(INDEX(Parsed!$K$2:$K$190,(MATCH(A80,Data!$B$2:$B$22,0)-1)*9+MATCH("God",Parsed!$C$2:$C$10,0))=INDEX(Parsed!$H$2:$H$190,(MATCH(B80,Data!$B$2:$B$22,0)-1)*9+MATCH("God",Parsed!$C$2:$C$10,0)),INDEX(Parsed!$M$2:$M$190,(MATCH(A80,Data!$B$2:$B$22,0)-1)*9+MATCH("God",Parsed!$C$2:$C$10,0))*INDEX(Parsed!$I$2:$I$190,(MATCH(B80,Data!$B$2:$B$22,0)-1)*9+MATCH("God",Parsed!$C$2:$C$10,0)),0)+IF(INDEX(Parsed!$K$2:$K$190,(MATCH(A80,Data!$B$2:$B$22,0)-1)*9+MATCH("Politics",Parsed!$C$2:$C$10,0))=INDEX(Parsed!$H$2:$H$190,(MATCH(B80,Data!$B$2:$B$22,0)-1)*9+MATCH("Politics",Parsed!$C$2:$C$10,0)),INDEX(Parsed!$M$2:$M$190,(MATCH(A80,Data!$B$2:$B$22,0)-1)*9+MATCH("Politics",Parsed!$C$2:$C$10,0))*INDEX(Parsed!$I$2:$I$190,(MATCH(B80,Data!$B$2:$B$22,0)-1)*9+MATCH("Politics",Parsed!$C$2:$C$10,0)),0)+IF(INDEX(Parsed!$K$2:$K$190,(MATCH(A80,Data!$B$2:$B$22,0)-1)*9+MATCH("Marriage",Parsed!$C$2:$C$10,0))=INDEX(Parsed!$H$2:$H$190,(MATCH(B80,Data!$B$2:$B$22,0)-1)*9+MATCH("Marriage",Parsed!$C$2:$C$10,0)),INDEX(Parsed!$M$2:$M$190,(MATCH(A80,Data!$B$2:$B$22,0)-1)*9+MATCH("Marriage",Parsed!$C$2:$C$10,0))*INDEX(Parsed!$I$2:$I$190,(MATCH(B80,Data!$B$2:$B$22,0)-1)*9+MATCH("Marriage",Parsed!$C$2:$C$10,0)),0)+IF(INDEX(Parsed!$K$2:$K$190,(MATCH(A80,Data!$B$2:$B$22,0)-1)*9+MATCH("Children",Parsed!$C$2:$C$10,0))=INDEX(Parsed!$H$2:$H$190,(MATCH(B80,Data!$B$2:$B$22,0)-1)*9+MATCH("Children",Parsed!$C$2:$C$10,0)),INDEX(Parsed!$M$2:$M$190,(MATCH(A80,Data!$B$2:$B$22,0)-1)*9+MATCH("Children",Parsed!$C$2:$C$10,0))*INDEX(Parsed!$I$2:$I$190,(MATCH(B80,Data!$B$2:$B$22,0)-1)*9+MATCH("Children",Parsed!$C$2:$C$10,0)),0)+IF(INDEX(Parsed!$K$2:$K$190,(MATCH(A80,Data!$B$2:$B$22,0)-1)*9+MATCH("Ethicity",Parsed!$C$2:$C$10,0))=INDEX(Parsed!$H$2:$H$190,(MATCH(B80,Data!$B$2:$B$22,0)-1)*9+MATCH("Ethicity",Parsed!$C$2:$C$10,0)),INDEX(Parsed!$M$2:$M$190,(MATCH(A80,Data!$B$2:$B$22,0)-1)*9+MATCH("Ethicity",Parsed!$C$2:$C$10,0))*INDEX(Parsed!$I$2:$I$190,(MATCH(B80,Data!$B$2:$B$22,0)-1)*9+MATCH("Ethicity",Parsed!$C$2:$C$10,0)),0)+IF(INDEX(Parsed!$K$2:$K$190,(MATCH(A80,Data!$B$2:$B$22,0)-1)*9+MATCH("Past",Parsed!$C$2:$C$10,0))=INDEX(Parsed!$H$2:$H$190,(MATCH(B80,Data!$B$2:$B$22,0)-1)*9+MATCH("Past",Parsed!$C$2:$C$10,0)),INDEX(Parsed!$M$2:$M$190,(MATCH(A80,Data!$B$2:$B$22,0)-1)*9+MATCH("Past",Parsed!$C$2:$C$10,0))*INDEX(Parsed!$I$2:$I$190,(MATCH(B80,Data!$B$2:$B$22,0)-1)*9+MATCH("Past",Parsed!$C$2:$C$10,0)),0)+IF(INDEX(Parsed!$K$2:$K$190,(MATCH(A80,Data!$B$2:$B$22,0)-1)*9+MATCH("D/S",Parsed!$C$2:$C$10,0))=INDEX(Parsed!$H$2:$H$190,(MATCH(B80,Data!$B$2:$B$22,0)-1)*9+MATCH("D/S",Parsed!$C$2:$C$10,0)),INDEX(Parsed!$M$2:$M$190,(MATCH(A80,Data!$B$2:$B$22,0)-1)*9+MATCH("D/S",Parsed!$C$2:$C$10,0))*INDEX(Parsed!$I$2:$I$190,(MATCH(B80,Data!$B$2:$B$22,0)-1)*9+MATCH("D/S",Parsed!$C$2:$C$10,0)),0)+IF(INDEX(Parsed!$K$2:$K$190,(MATCH(A80,Data!$B$2:$B$22,0)-1)*9+MATCH("True/kind",Parsed!$C$2:$C$10,0))=INDEX(Parsed!$H$2:$H$190,(MATCH(B80,Data!$B$2:$B$22,0)-1)*9+MATCH("True/kind",Parsed!$C$2:$C$10,0)),INDEX(Parsed!$M$2:$M$190,(MATCH(A80,Data!$B$2:$B$22,0)-1)*9+MATCH("True/kind",Parsed!$C$2:$C$10,0))*INDEX(Parsed!$I$2:$I$190,(MATCH(B80,Data!$B$2:$B$22,0)-1)*9+MATCH("True/kind",Parsed!$C$2:$C$10,0)),0)+IF(INDEX(Parsed!$K$2:$K$190,(MATCH(A80,Data!$B$2:$B$22,0)-1)*9+MATCH("Animal",Parsed!$C$2:$C$10,0))=INDEX(Parsed!$H$2:$H$190,(MATCH(B80,Data!$B$2:$B$22,0)-1)*9+MATCH("Animal",Parsed!$C$2:$C$10,0)),INDEX(Parsed!$M$2:$M$190,(MATCH(A80,Data!$B$2:$B$22,0)-1)*9+MATCH("Animal",Parsed!$C$2:$C$10,0))*INDEX(Parsed!$I$2:$I$190,(MATCH(B80,Data!$B$2:$B$22,0)-1)*9+MATCH("Animal",Parsed!$C$2:$C$10,0)),0),0)</x:f>
        <x:v>82.5</x:v>
      </x:c>
      <x:c r="E80" s="11" t="n">
        <x:f>SQRT(C80*D80)</x:f>
        <x:v>68.12213296719356</x:v>
      </x:c>
    </x:row>
    <x:row r="81">
      <x:c r="A81" t="str">
        <x:v>leo</x:v>
      </x:c>
      <x:c r="B81" t="str">
        <x:v>edith</x:v>
      </x:c>
      <x:c r="C81" s="11" t="n">
        <x:f>IFERROR(IF(INDEX(Parsed!$K$2:$K$190,(MATCH(B81,Data!$B$2:$B$22,0)-1)*9+MATCH("God",Parsed!$C$2:$C$10,0))=INDEX(Parsed!$H$2:$H$190,(MATCH(A81,Data!$B$2:$B$22,0)-1)*9+MATCH("God",Parsed!$C$2:$C$10,0)),INDEX(Parsed!$M$2:$M$190,(MATCH(B81,Data!$B$2:$B$22,0)-1)*9+MATCH("God",Parsed!$C$2:$C$10,0))*INDEX(Parsed!$I$2:$I$190,(MATCH(A81,Data!$B$2:$B$22,0)-1)*9+MATCH("God",Parsed!$C$2:$C$10,0)),0)+IF(INDEX(Parsed!$K$2:$K$190,(MATCH(B81,Data!$B$2:$B$22,0)-1)*9+MATCH("Politics",Parsed!$C$2:$C$10,0))=INDEX(Parsed!$H$2:$H$190,(MATCH(A81,Data!$B$2:$B$22,0)-1)*9+MATCH("Politics",Parsed!$C$2:$C$10,0)),INDEX(Parsed!$M$2:$M$190,(MATCH(B81,Data!$B$2:$B$22,0)-1)*9+MATCH("Politics",Parsed!$C$2:$C$10,0))*INDEX(Parsed!$I$2:$I$190,(MATCH(A81,Data!$B$2:$B$22,0)-1)*9+MATCH("Politics",Parsed!$C$2:$C$10,0)),0)+IF(INDEX(Parsed!$K$2:$K$190,(MATCH(B81,Data!$B$2:$B$22,0)-1)*9+MATCH("Marriage",Parsed!$C$2:$C$10,0))=INDEX(Parsed!$H$2:$H$190,(MATCH(A81,Data!$B$2:$B$22,0)-1)*9+MATCH("Marriage",Parsed!$C$2:$C$10,0)),INDEX(Parsed!$M$2:$M$190,(MATCH(B81,Data!$B$2:$B$22,0)-1)*9+MATCH("Marriage",Parsed!$C$2:$C$10,0))*INDEX(Parsed!$I$2:$I$190,(MATCH(A81,Data!$B$2:$B$22,0)-1)*9+MATCH("Marriage",Parsed!$C$2:$C$10,0)),0)+IF(INDEX(Parsed!$K$2:$K$190,(MATCH(B81,Data!$B$2:$B$22,0)-1)*9+MATCH("Children",Parsed!$C$2:$C$10,0))=INDEX(Parsed!$H$2:$H$190,(MATCH(A81,Data!$B$2:$B$22,0)-1)*9+MATCH("Children",Parsed!$C$2:$C$10,0)),INDEX(Parsed!$M$2:$M$190,(MATCH(B81,Data!$B$2:$B$22,0)-1)*9+MATCH("Children",Parsed!$C$2:$C$10,0))*INDEX(Parsed!$I$2:$I$190,(MATCH(A81,Data!$B$2:$B$22,0)-1)*9+MATCH("Children",Parsed!$C$2:$C$10,0)),0)+IF(INDEX(Parsed!$K$2:$K$190,(MATCH(B81,Data!$B$2:$B$22,0)-1)*9+MATCH("Ethicity",Parsed!$C$2:$C$10,0))=INDEX(Parsed!$H$2:$H$190,(MATCH(A81,Data!$B$2:$B$22,0)-1)*9+MATCH("Ethicity",Parsed!$C$2:$C$10,0)),INDEX(Parsed!$M$2:$M$190,(MATCH(B81,Data!$B$2:$B$22,0)-1)*9+MATCH("Ethicity",Parsed!$C$2:$C$10,0))*INDEX(Parsed!$I$2:$I$190,(MATCH(A81,Data!$B$2:$B$22,0)-1)*9+MATCH("Ethicity",Parsed!$C$2:$C$10,0)),0)+IF(INDEX(Parsed!$K$2:$K$190,(MATCH(B81,Data!$B$2:$B$22,0)-1)*9+MATCH("Past",Parsed!$C$2:$C$10,0))=INDEX(Parsed!$H$2:$H$190,(MATCH(A81,Data!$B$2:$B$22,0)-1)*9+MATCH("Past",Parsed!$C$2:$C$10,0)),INDEX(Parsed!$M$2:$M$190,(MATCH(B81,Data!$B$2:$B$22,0)-1)*9+MATCH("Past",Parsed!$C$2:$C$10,0))*INDEX(Parsed!$I$2:$I$190,(MATCH(A81,Data!$B$2:$B$22,0)-1)*9+MATCH("Past",Parsed!$C$2:$C$10,0)),0)+IF(INDEX(Parsed!$K$2:$K$190,(MATCH(B81,Data!$B$2:$B$22,0)-1)*9+MATCH("D/S",Parsed!$C$2:$C$10,0))=INDEX(Parsed!$H$2:$H$190,(MATCH(A81,Data!$B$2:$B$22,0)-1)*9+MATCH("D/S",Parsed!$C$2:$C$10,0)),INDEX(Parsed!$M$2:$M$190,(MATCH(B81,Data!$B$2:$B$22,0)-1)*9+MATCH("D/S",Parsed!$C$2:$C$10,0))*INDEX(Parsed!$I$2:$I$190,(MATCH(A81,Data!$B$2:$B$22,0)-1)*9+MATCH("D/S",Parsed!$C$2:$C$10,0)),0)+IF(INDEX(Parsed!$K$2:$K$190,(MATCH(B81,Data!$B$2:$B$22,0)-1)*9+MATCH("True/kind",Parsed!$C$2:$C$10,0))=INDEX(Parsed!$H$2:$H$190,(MATCH(A81,Data!$B$2:$B$22,0)-1)*9+MATCH("True/kind",Parsed!$C$2:$C$10,0)),INDEX(Parsed!$M$2:$M$190,(MATCH(B81,Data!$B$2:$B$22,0)-1)*9+MATCH("True/kind",Parsed!$C$2:$C$10,0))*INDEX(Parsed!$I$2:$I$190,(MATCH(A81,Data!$B$2:$B$22,0)-1)*9+MATCH("True/kind",Parsed!$C$2:$C$10,0)),0)+IF(INDEX(Parsed!$K$2:$K$190,(MATCH(B81,Data!$B$2:$B$22,0)-1)*9+MATCH("Animal",Parsed!$C$2:$C$10,0))=INDEX(Parsed!$H$2:$H$190,(MATCH(A81,Data!$B$2:$B$22,0)-1)*9+MATCH("Animal",Parsed!$C$2:$C$10,0)),INDEX(Parsed!$M$2:$M$190,(MATCH(B81,Data!$B$2:$B$22,0)-1)*9+MATCH("Animal",Parsed!$C$2:$C$10,0))*INDEX(Parsed!$I$2:$I$190,(MATCH(A81,Data!$B$2:$B$22,0)-1)*9+MATCH("Animal",Parsed!$C$2:$C$10,0)),0),0)</x:f>
        <x:v>80</x:v>
      </x:c>
      <x:c r="D81" s="11" t="n">
        <x:f>IFERROR(IF(INDEX(Parsed!$K$2:$K$190,(MATCH(A81,Data!$B$2:$B$22,0)-1)*9+MATCH("God",Parsed!$C$2:$C$10,0))=INDEX(Parsed!$H$2:$H$190,(MATCH(B81,Data!$B$2:$B$22,0)-1)*9+MATCH("God",Parsed!$C$2:$C$10,0)),INDEX(Parsed!$M$2:$M$190,(MATCH(A81,Data!$B$2:$B$22,0)-1)*9+MATCH("God",Parsed!$C$2:$C$10,0))*INDEX(Parsed!$I$2:$I$190,(MATCH(B81,Data!$B$2:$B$22,0)-1)*9+MATCH("God",Parsed!$C$2:$C$10,0)),0)+IF(INDEX(Parsed!$K$2:$K$190,(MATCH(A81,Data!$B$2:$B$22,0)-1)*9+MATCH("Politics",Parsed!$C$2:$C$10,0))=INDEX(Parsed!$H$2:$H$190,(MATCH(B81,Data!$B$2:$B$22,0)-1)*9+MATCH("Politics",Parsed!$C$2:$C$10,0)),INDEX(Parsed!$M$2:$M$190,(MATCH(A81,Data!$B$2:$B$22,0)-1)*9+MATCH("Politics",Parsed!$C$2:$C$10,0))*INDEX(Parsed!$I$2:$I$190,(MATCH(B81,Data!$B$2:$B$22,0)-1)*9+MATCH("Politics",Parsed!$C$2:$C$10,0)),0)+IF(INDEX(Parsed!$K$2:$K$190,(MATCH(A81,Data!$B$2:$B$22,0)-1)*9+MATCH("Marriage",Parsed!$C$2:$C$10,0))=INDEX(Parsed!$H$2:$H$190,(MATCH(B81,Data!$B$2:$B$22,0)-1)*9+MATCH("Marriage",Parsed!$C$2:$C$10,0)),INDEX(Parsed!$M$2:$M$190,(MATCH(A81,Data!$B$2:$B$22,0)-1)*9+MATCH("Marriage",Parsed!$C$2:$C$10,0))*INDEX(Parsed!$I$2:$I$190,(MATCH(B81,Data!$B$2:$B$22,0)-1)*9+MATCH("Marriage",Parsed!$C$2:$C$10,0)),0)+IF(INDEX(Parsed!$K$2:$K$190,(MATCH(A81,Data!$B$2:$B$22,0)-1)*9+MATCH("Children",Parsed!$C$2:$C$10,0))=INDEX(Parsed!$H$2:$H$190,(MATCH(B81,Data!$B$2:$B$22,0)-1)*9+MATCH("Children",Parsed!$C$2:$C$10,0)),INDEX(Parsed!$M$2:$M$190,(MATCH(A81,Data!$B$2:$B$22,0)-1)*9+MATCH("Children",Parsed!$C$2:$C$10,0))*INDEX(Parsed!$I$2:$I$190,(MATCH(B81,Data!$B$2:$B$22,0)-1)*9+MATCH("Children",Parsed!$C$2:$C$10,0)),0)+IF(INDEX(Parsed!$K$2:$K$190,(MATCH(A81,Data!$B$2:$B$22,0)-1)*9+MATCH("Ethicity",Parsed!$C$2:$C$10,0))=INDEX(Parsed!$H$2:$H$190,(MATCH(B81,Data!$B$2:$B$22,0)-1)*9+MATCH("Ethicity",Parsed!$C$2:$C$10,0)),INDEX(Parsed!$M$2:$M$190,(MATCH(A81,Data!$B$2:$B$22,0)-1)*9+MATCH("Ethicity",Parsed!$C$2:$C$10,0))*INDEX(Parsed!$I$2:$I$190,(MATCH(B81,Data!$B$2:$B$22,0)-1)*9+MATCH("Ethicity",Parsed!$C$2:$C$10,0)),0)+IF(INDEX(Parsed!$K$2:$K$190,(MATCH(A81,Data!$B$2:$B$22,0)-1)*9+MATCH("Past",Parsed!$C$2:$C$10,0))=INDEX(Parsed!$H$2:$H$190,(MATCH(B81,Data!$B$2:$B$22,0)-1)*9+MATCH("Past",Parsed!$C$2:$C$10,0)),INDEX(Parsed!$M$2:$M$190,(MATCH(A81,Data!$B$2:$B$22,0)-1)*9+MATCH("Past",Parsed!$C$2:$C$10,0))*INDEX(Parsed!$I$2:$I$190,(MATCH(B81,Data!$B$2:$B$22,0)-1)*9+MATCH("Past",Parsed!$C$2:$C$10,0)),0)+IF(INDEX(Parsed!$K$2:$K$190,(MATCH(A81,Data!$B$2:$B$22,0)-1)*9+MATCH("D/S",Parsed!$C$2:$C$10,0))=INDEX(Parsed!$H$2:$H$190,(MATCH(B81,Data!$B$2:$B$22,0)-1)*9+MATCH("D/S",Parsed!$C$2:$C$10,0)),INDEX(Parsed!$M$2:$M$190,(MATCH(A81,Data!$B$2:$B$22,0)-1)*9+MATCH("D/S",Parsed!$C$2:$C$10,0))*INDEX(Parsed!$I$2:$I$190,(MATCH(B81,Data!$B$2:$B$22,0)-1)*9+MATCH("D/S",Parsed!$C$2:$C$10,0)),0)+IF(INDEX(Parsed!$K$2:$K$190,(MATCH(A81,Data!$B$2:$B$22,0)-1)*9+MATCH("True/kind",Parsed!$C$2:$C$10,0))=INDEX(Parsed!$H$2:$H$190,(MATCH(B81,Data!$B$2:$B$22,0)-1)*9+MATCH("True/kind",Parsed!$C$2:$C$10,0)),INDEX(Parsed!$M$2:$M$190,(MATCH(A81,Data!$B$2:$B$22,0)-1)*9+MATCH("True/kind",Parsed!$C$2:$C$10,0))*INDEX(Parsed!$I$2:$I$190,(MATCH(B81,Data!$B$2:$B$22,0)-1)*9+MATCH("True/kind",Parsed!$C$2:$C$10,0)),0)+IF(INDEX(Parsed!$K$2:$K$190,(MATCH(A81,Data!$B$2:$B$22,0)-1)*9+MATCH("Animal",Parsed!$C$2:$C$10,0))=INDEX(Parsed!$H$2:$H$190,(MATCH(B81,Data!$B$2:$B$22,0)-1)*9+MATCH("Animal",Parsed!$C$2:$C$10,0)),INDEX(Parsed!$M$2:$M$190,(MATCH(A81,Data!$B$2:$B$22,0)-1)*9+MATCH("Animal",Parsed!$C$2:$C$10,0))*INDEX(Parsed!$I$2:$I$190,(MATCH(B81,Data!$B$2:$B$22,0)-1)*9+MATCH("Animal",Parsed!$C$2:$C$10,0)),0),0)</x:f>
        <x:v>41.25</x:v>
      </x:c>
      <x:c r="E81" s="11" t="n">
        <x:f>SQRT(C81*D81)</x:f>
        <x:v>57.445626465380286</x:v>
      </x:c>
    </x:row>
    <x:row r="82">
      <x:c r="A82" t="str">
        <x:v>leo</x:v>
      </x:c>
      <x:c r="B82" t="str">
        <x:v>sophiah</x:v>
      </x:c>
      <x:c r="C82" s="11" t="n">
        <x:f>IFERROR(IF(INDEX(Parsed!$K$2:$K$190,(MATCH(B82,Data!$B$2:$B$22,0)-1)*9+MATCH("God",Parsed!$C$2:$C$10,0))=INDEX(Parsed!$H$2:$H$190,(MATCH(A82,Data!$B$2:$B$22,0)-1)*9+MATCH("God",Parsed!$C$2:$C$10,0)),INDEX(Parsed!$M$2:$M$190,(MATCH(B82,Data!$B$2:$B$22,0)-1)*9+MATCH("God",Parsed!$C$2:$C$10,0))*INDEX(Parsed!$I$2:$I$190,(MATCH(A82,Data!$B$2:$B$22,0)-1)*9+MATCH("God",Parsed!$C$2:$C$10,0)),0)+IF(INDEX(Parsed!$K$2:$K$190,(MATCH(B82,Data!$B$2:$B$22,0)-1)*9+MATCH("Politics",Parsed!$C$2:$C$10,0))=INDEX(Parsed!$H$2:$H$190,(MATCH(A82,Data!$B$2:$B$22,0)-1)*9+MATCH("Politics",Parsed!$C$2:$C$10,0)),INDEX(Parsed!$M$2:$M$190,(MATCH(B82,Data!$B$2:$B$22,0)-1)*9+MATCH("Politics",Parsed!$C$2:$C$10,0))*INDEX(Parsed!$I$2:$I$190,(MATCH(A82,Data!$B$2:$B$22,0)-1)*9+MATCH("Politics",Parsed!$C$2:$C$10,0)),0)+IF(INDEX(Parsed!$K$2:$K$190,(MATCH(B82,Data!$B$2:$B$22,0)-1)*9+MATCH("Marriage",Parsed!$C$2:$C$10,0))=INDEX(Parsed!$H$2:$H$190,(MATCH(A82,Data!$B$2:$B$22,0)-1)*9+MATCH("Marriage",Parsed!$C$2:$C$10,0)),INDEX(Parsed!$M$2:$M$190,(MATCH(B82,Data!$B$2:$B$22,0)-1)*9+MATCH("Marriage",Parsed!$C$2:$C$10,0))*INDEX(Parsed!$I$2:$I$190,(MATCH(A82,Data!$B$2:$B$22,0)-1)*9+MATCH("Marriage",Parsed!$C$2:$C$10,0)),0)+IF(INDEX(Parsed!$K$2:$K$190,(MATCH(B82,Data!$B$2:$B$22,0)-1)*9+MATCH("Children",Parsed!$C$2:$C$10,0))=INDEX(Parsed!$H$2:$H$190,(MATCH(A82,Data!$B$2:$B$22,0)-1)*9+MATCH("Children",Parsed!$C$2:$C$10,0)),INDEX(Parsed!$M$2:$M$190,(MATCH(B82,Data!$B$2:$B$22,0)-1)*9+MATCH("Children",Parsed!$C$2:$C$10,0))*INDEX(Parsed!$I$2:$I$190,(MATCH(A82,Data!$B$2:$B$22,0)-1)*9+MATCH("Children",Parsed!$C$2:$C$10,0)),0)+IF(INDEX(Parsed!$K$2:$K$190,(MATCH(B82,Data!$B$2:$B$22,0)-1)*9+MATCH("Ethicity",Parsed!$C$2:$C$10,0))=INDEX(Parsed!$H$2:$H$190,(MATCH(A82,Data!$B$2:$B$22,0)-1)*9+MATCH("Ethicity",Parsed!$C$2:$C$10,0)),INDEX(Parsed!$M$2:$M$190,(MATCH(B82,Data!$B$2:$B$22,0)-1)*9+MATCH("Ethicity",Parsed!$C$2:$C$10,0))*INDEX(Parsed!$I$2:$I$190,(MATCH(A82,Data!$B$2:$B$22,0)-1)*9+MATCH("Ethicity",Parsed!$C$2:$C$10,0)),0)+IF(INDEX(Parsed!$K$2:$K$190,(MATCH(B82,Data!$B$2:$B$22,0)-1)*9+MATCH("Past",Parsed!$C$2:$C$10,0))=INDEX(Parsed!$H$2:$H$190,(MATCH(A82,Data!$B$2:$B$22,0)-1)*9+MATCH("Past",Parsed!$C$2:$C$10,0)),INDEX(Parsed!$M$2:$M$190,(MATCH(B82,Data!$B$2:$B$22,0)-1)*9+MATCH("Past",Parsed!$C$2:$C$10,0))*INDEX(Parsed!$I$2:$I$190,(MATCH(A82,Data!$B$2:$B$22,0)-1)*9+MATCH("Past",Parsed!$C$2:$C$10,0)),0)+IF(INDEX(Parsed!$K$2:$K$190,(MATCH(B82,Data!$B$2:$B$22,0)-1)*9+MATCH("D/S",Parsed!$C$2:$C$10,0))=INDEX(Parsed!$H$2:$H$190,(MATCH(A82,Data!$B$2:$B$22,0)-1)*9+MATCH("D/S",Parsed!$C$2:$C$10,0)),INDEX(Parsed!$M$2:$M$190,(MATCH(B82,Data!$B$2:$B$22,0)-1)*9+MATCH("D/S",Parsed!$C$2:$C$10,0))*INDEX(Parsed!$I$2:$I$190,(MATCH(A82,Data!$B$2:$B$22,0)-1)*9+MATCH("D/S",Parsed!$C$2:$C$10,0)),0)+IF(INDEX(Parsed!$K$2:$K$190,(MATCH(B82,Data!$B$2:$B$22,0)-1)*9+MATCH("True/kind",Parsed!$C$2:$C$10,0))=INDEX(Parsed!$H$2:$H$190,(MATCH(A82,Data!$B$2:$B$22,0)-1)*9+MATCH("True/kind",Parsed!$C$2:$C$10,0)),INDEX(Parsed!$M$2:$M$190,(MATCH(B82,Data!$B$2:$B$22,0)-1)*9+MATCH("True/kind",Parsed!$C$2:$C$10,0))*INDEX(Parsed!$I$2:$I$190,(MATCH(A82,Data!$B$2:$B$22,0)-1)*9+MATCH("True/kind",Parsed!$C$2:$C$10,0)),0)+IF(INDEX(Parsed!$K$2:$K$190,(MATCH(B82,Data!$B$2:$B$22,0)-1)*9+MATCH("Animal",Parsed!$C$2:$C$10,0))=INDEX(Parsed!$H$2:$H$190,(MATCH(A82,Data!$B$2:$B$22,0)-1)*9+MATCH("Animal",Parsed!$C$2:$C$10,0)),INDEX(Parsed!$M$2:$M$190,(MATCH(B82,Data!$B$2:$B$22,0)-1)*9+MATCH("Animal",Parsed!$C$2:$C$10,0))*INDEX(Parsed!$I$2:$I$190,(MATCH(A82,Data!$B$2:$B$22,0)-1)*9+MATCH("Animal",Parsed!$C$2:$C$10,0)),0),0)</x:f>
        <x:v>37.5</x:v>
      </x:c>
      <x:c r="D82" s="11" t="n">
        <x:f>IFERROR(IF(INDEX(Parsed!$K$2:$K$190,(MATCH(A82,Data!$B$2:$B$22,0)-1)*9+MATCH("God",Parsed!$C$2:$C$10,0))=INDEX(Parsed!$H$2:$H$190,(MATCH(B82,Data!$B$2:$B$22,0)-1)*9+MATCH("God",Parsed!$C$2:$C$10,0)),INDEX(Parsed!$M$2:$M$190,(MATCH(A82,Data!$B$2:$B$22,0)-1)*9+MATCH("God",Parsed!$C$2:$C$10,0))*INDEX(Parsed!$I$2:$I$190,(MATCH(B82,Data!$B$2:$B$22,0)-1)*9+MATCH("God",Parsed!$C$2:$C$10,0)),0)+IF(INDEX(Parsed!$K$2:$K$190,(MATCH(A82,Data!$B$2:$B$22,0)-1)*9+MATCH("Politics",Parsed!$C$2:$C$10,0))=INDEX(Parsed!$H$2:$H$190,(MATCH(B82,Data!$B$2:$B$22,0)-1)*9+MATCH("Politics",Parsed!$C$2:$C$10,0)),INDEX(Parsed!$M$2:$M$190,(MATCH(A82,Data!$B$2:$B$22,0)-1)*9+MATCH("Politics",Parsed!$C$2:$C$10,0))*INDEX(Parsed!$I$2:$I$190,(MATCH(B82,Data!$B$2:$B$22,0)-1)*9+MATCH("Politics",Parsed!$C$2:$C$10,0)),0)+IF(INDEX(Parsed!$K$2:$K$190,(MATCH(A82,Data!$B$2:$B$22,0)-1)*9+MATCH("Marriage",Parsed!$C$2:$C$10,0))=INDEX(Parsed!$H$2:$H$190,(MATCH(B82,Data!$B$2:$B$22,0)-1)*9+MATCH("Marriage",Parsed!$C$2:$C$10,0)),INDEX(Parsed!$M$2:$M$190,(MATCH(A82,Data!$B$2:$B$22,0)-1)*9+MATCH("Marriage",Parsed!$C$2:$C$10,0))*INDEX(Parsed!$I$2:$I$190,(MATCH(B82,Data!$B$2:$B$22,0)-1)*9+MATCH("Marriage",Parsed!$C$2:$C$10,0)),0)+IF(INDEX(Parsed!$K$2:$K$190,(MATCH(A82,Data!$B$2:$B$22,0)-1)*9+MATCH("Children",Parsed!$C$2:$C$10,0))=INDEX(Parsed!$H$2:$H$190,(MATCH(B82,Data!$B$2:$B$22,0)-1)*9+MATCH("Children",Parsed!$C$2:$C$10,0)),INDEX(Parsed!$M$2:$M$190,(MATCH(A82,Data!$B$2:$B$22,0)-1)*9+MATCH("Children",Parsed!$C$2:$C$10,0))*INDEX(Parsed!$I$2:$I$190,(MATCH(B82,Data!$B$2:$B$22,0)-1)*9+MATCH("Children",Parsed!$C$2:$C$10,0)),0)+IF(INDEX(Parsed!$K$2:$K$190,(MATCH(A82,Data!$B$2:$B$22,0)-1)*9+MATCH("Ethicity",Parsed!$C$2:$C$10,0))=INDEX(Parsed!$H$2:$H$190,(MATCH(B82,Data!$B$2:$B$22,0)-1)*9+MATCH("Ethicity",Parsed!$C$2:$C$10,0)),INDEX(Parsed!$M$2:$M$190,(MATCH(A82,Data!$B$2:$B$22,0)-1)*9+MATCH("Ethicity",Parsed!$C$2:$C$10,0))*INDEX(Parsed!$I$2:$I$190,(MATCH(B82,Data!$B$2:$B$22,0)-1)*9+MATCH("Ethicity",Parsed!$C$2:$C$10,0)),0)+IF(INDEX(Parsed!$K$2:$K$190,(MATCH(A82,Data!$B$2:$B$22,0)-1)*9+MATCH("Past",Parsed!$C$2:$C$10,0))=INDEX(Parsed!$H$2:$H$190,(MATCH(B82,Data!$B$2:$B$22,0)-1)*9+MATCH("Past",Parsed!$C$2:$C$10,0)),INDEX(Parsed!$M$2:$M$190,(MATCH(A82,Data!$B$2:$B$22,0)-1)*9+MATCH("Past",Parsed!$C$2:$C$10,0))*INDEX(Parsed!$I$2:$I$190,(MATCH(B82,Data!$B$2:$B$22,0)-1)*9+MATCH("Past",Parsed!$C$2:$C$10,0)),0)+IF(INDEX(Parsed!$K$2:$K$190,(MATCH(A82,Data!$B$2:$B$22,0)-1)*9+MATCH("D/S",Parsed!$C$2:$C$10,0))=INDEX(Parsed!$H$2:$H$190,(MATCH(B82,Data!$B$2:$B$22,0)-1)*9+MATCH("D/S",Parsed!$C$2:$C$10,0)),INDEX(Parsed!$M$2:$M$190,(MATCH(A82,Data!$B$2:$B$22,0)-1)*9+MATCH("D/S",Parsed!$C$2:$C$10,0))*INDEX(Parsed!$I$2:$I$190,(MATCH(B82,Data!$B$2:$B$22,0)-1)*9+MATCH("D/S",Parsed!$C$2:$C$10,0)),0)+IF(INDEX(Parsed!$K$2:$K$190,(MATCH(A82,Data!$B$2:$B$22,0)-1)*9+MATCH("True/kind",Parsed!$C$2:$C$10,0))=INDEX(Parsed!$H$2:$H$190,(MATCH(B82,Data!$B$2:$B$22,0)-1)*9+MATCH("True/kind",Parsed!$C$2:$C$10,0)),INDEX(Parsed!$M$2:$M$190,(MATCH(A82,Data!$B$2:$B$22,0)-1)*9+MATCH("True/kind",Parsed!$C$2:$C$10,0))*INDEX(Parsed!$I$2:$I$190,(MATCH(B82,Data!$B$2:$B$22,0)-1)*9+MATCH("True/kind",Parsed!$C$2:$C$10,0)),0)+IF(INDEX(Parsed!$K$2:$K$190,(MATCH(A82,Data!$B$2:$B$22,0)-1)*9+MATCH("Animal",Parsed!$C$2:$C$10,0))=INDEX(Parsed!$H$2:$H$190,(MATCH(B82,Data!$B$2:$B$22,0)-1)*9+MATCH("Animal",Parsed!$C$2:$C$10,0)),INDEX(Parsed!$M$2:$M$190,(MATCH(A82,Data!$B$2:$B$22,0)-1)*9+MATCH("Animal",Parsed!$C$2:$C$10,0))*INDEX(Parsed!$I$2:$I$190,(MATCH(B82,Data!$B$2:$B$22,0)-1)*9+MATCH("Animal",Parsed!$C$2:$C$10,0)),0),0)</x:f>
        <x:v>55</x:v>
      </x:c>
      <x:c r="E82" s="11" t="n">
        <x:f>SQRT(C82*D82)</x:f>
        <x:v>45.41475531146237</x:v>
      </x:c>
    </x:row>
    <x:row r="83">
      <x:c r="A83" t="str">
        <x:v>leo</x:v>
      </x:c>
      <x:c r="B83" t="str">
        <x:v>angela</x:v>
      </x:c>
      <x:c r="C83" s="11" t="n">
        <x:f>IFERROR(IF(INDEX(Parsed!$K$2:$K$190,(MATCH(B83,Data!$B$2:$B$22,0)-1)*9+MATCH("God",Parsed!$C$2:$C$10,0))=INDEX(Parsed!$H$2:$H$190,(MATCH(A83,Data!$B$2:$B$22,0)-1)*9+MATCH("God",Parsed!$C$2:$C$10,0)),INDEX(Parsed!$M$2:$M$190,(MATCH(B83,Data!$B$2:$B$22,0)-1)*9+MATCH("God",Parsed!$C$2:$C$10,0))*INDEX(Parsed!$I$2:$I$190,(MATCH(A83,Data!$B$2:$B$22,0)-1)*9+MATCH("God",Parsed!$C$2:$C$10,0)),0)+IF(INDEX(Parsed!$K$2:$K$190,(MATCH(B83,Data!$B$2:$B$22,0)-1)*9+MATCH("Politics",Parsed!$C$2:$C$10,0))=INDEX(Parsed!$H$2:$H$190,(MATCH(A83,Data!$B$2:$B$22,0)-1)*9+MATCH("Politics",Parsed!$C$2:$C$10,0)),INDEX(Parsed!$M$2:$M$190,(MATCH(B83,Data!$B$2:$B$22,0)-1)*9+MATCH("Politics",Parsed!$C$2:$C$10,0))*INDEX(Parsed!$I$2:$I$190,(MATCH(A83,Data!$B$2:$B$22,0)-1)*9+MATCH("Politics",Parsed!$C$2:$C$10,0)),0)+IF(INDEX(Parsed!$K$2:$K$190,(MATCH(B83,Data!$B$2:$B$22,0)-1)*9+MATCH("Marriage",Parsed!$C$2:$C$10,0))=INDEX(Parsed!$H$2:$H$190,(MATCH(A83,Data!$B$2:$B$22,0)-1)*9+MATCH("Marriage",Parsed!$C$2:$C$10,0)),INDEX(Parsed!$M$2:$M$190,(MATCH(B83,Data!$B$2:$B$22,0)-1)*9+MATCH("Marriage",Parsed!$C$2:$C$10,0))*INDEX(Parsed!$I$2:$I$190,(MATCH(A83,Data!$B$2:$B$22,0)-1)*9+MATCH("Marriage",Parsed!$C$2:$C$10,0)),0)+IF(INDEX(Parsed!$K$2:$K$190,(MATCH(B83,Data!$B$2:$B$22,0)-1)*9+MATCH("Children",Parsed!$C$2:$C$10,0))=INDEX(Parsed!$H$2:$H$190,(MATCH(A83,Data!$B$2:$B$22,0)-1)*9+MATCH("Children",Parsed!$C$2:$C$10,0)),INDEX(Parsed!$M$2:$M$190,(MATCH(B83,Data!$B$2:$B$22,0)-1)*9+MATCH("Children",Parsed!$C$2:$C$10,0))*INDEX(Parsed!$I$2:$I$190,(MATCH(A83,Data!$B$2:$B$22,0)-1)*9+MATCH("Children",Parsed!$C$2:$C$10,0)),0)+IF(INDEX(Parsed!$K$2:$K$190,(MATCH(B83,Data!$B$2:$B$22,0)-1)*9+MATCH("Ethicity",Parsed!$C$2:$C$10,0))=INDEX(Parsed!$H$2:$H$190,(MATCH(A83,Data!$B$2:$B$22,0)-1)*9+MATCH("Ethicity",Parsed!$C$2:$C$10,0)),INDEX(Parsed!$M$2:$M$190,(MATCH(B83,Data!$B$2:$B$22,0)-1)*9+MATCH("Ethicity",Parsed!$C$2:$C$10,0))*INDEX(Parsed!$I$2:$I$190,(MATCH(A83,Data!$B$2:$B$22,0)-1)*9+MATCH("Ethicity",Parsed!$C$2:$C$10,0)),0)+IF(INDEX(Parsed!$K$2:$K$190,(MATCH(B83,Data!$B$2:$B$22,0)-1)*9+MATCH("Past",Parsed!$C$2:$C$10,0))=INDEX(Parsed!$H$2:$H$190,(MATCH(A83,Data!$B$2:$B$22,0)-1)*9+MATCH("Past",Parsed!$C$2:$C$10,0)),INDEX(Parsed!$M$2:$M$190,(MATCH(B83,Data!$B$2:$B$22,0)-1)*9+MATCH("Past",Parsed!$C$2:$C$10,0))*INDEX(Parsed!$I$2:$I$190,(MATCH(A83,Data!$B$2:$B$22,0)-1)*9+MATCH("Past",Parsed!$C$2:$C$10,0)),0)+IF(INDEX(Parsed!$K$2:$K$190,(MATCH(B83,Data!$B$2:$B$22,0)-1)*9+MATCH("D/S",Parsed!$C$2:$C$10,0))=INDEX(Parsed!$H$2:$H$190,(MATCH(A83,Data!$B$2:$B$22,0)-1)*9+MATCH("D/S",Parsed!$C$2:$C$10,0)),INDEX(Parsed!$M$2:$M$190,(MATCH(B83,Data!$B$2:$B$22,0)-1)*9+MATCH("D/S",Parsed!$C$2:$C$10,0))*INDEX(Parsed!$I$2:$I$190,(MATCH(A83,Data!$B$2:$B$22,0)-1)*9+MATCH("D/S",Parsed!$C$2:$C$10,0)),0)+IF(INDEX(Parsed!$K$2:$K$190,(MATCH(B83,Data!$B$2:$B$22,0)-1)*9+MATCH("True/kind",Parsed!$C$2:$C$10,0))=INDEX(Parsed!$H$2:$H$190,(MATCH(A83,Data!$B$2:$B$22,0)-1)*9+MATCH("True/kind",Parsed!$C$2:$C$10,0)),INDEX(Parsed!$M$2:$M$190,(MATCH(B83,Data!$B$2:$B$22,0)-1)*9+MATCH("True/kind",Parsed!$C$2:$C$10,0))*INDEX(Parsed!$I$2:$I$190,(MATCH(A83,Data!$B$2:$B$22,0)-1)*9+MATCH("True/kind",Parsed!$C$2:$C$10,0)),0)+IF(INDEX(Parsed!$K$2:$K$190,(MATCH(B83,Data!$B$2:$B$22,0)-1)*9+MATCH("Animal",Parsed!$C$2:$C$10,0))=INDEX(Parsed!$H$2:$H$190,(MATCH(A83,Data!$B$2:$B$22,0)-1)*9+MATCH("Animal",Parsed!$C$2:$C$10,0)),INDEX(Parsed!$M$2:$M$190,(MATCH(B83,Data!$B$2:$B$22,0)-1)*9+MATCH("Animal",Parsed!$C$2:$C$10,0))*INDEX(Parsed!$I$2:$I$190,(MATCH(A83,Data!$B$2:$B$22,0)-1)*9+MATCH("Animal",Parsed!$C$2:$C$10,0)),0),0)</x:f>
        <x:v>62.5</x:v>
      </x:c>
      <x:c r="D83" s="11" t="n">
        <x:f>IFERROR(IF(INDEX(Parsed!$K$2:$K$190,(MATCH(A83,Data!$B$2:$B$22,0)-1)*9+MATCH("God",Parsed!$C$2:$C$10,0))=INDEX(Parsed!$H$2:$H$190,(MATCH(B83,Data!$B$2:$B$22,0)-1)*9+MATCH("God",Parsed!$C$2:$C$10,0)),INDEX(Parsed!$M$2:$M$190,(MATCH(A83,Data!$B$2:$B$22,0)-1)*9+MATCH("God",Parsed!$C$2:$C$10,0))*INDEX(Parsed!$I$2:$I$190,(MATCH(B83,Data!$B$2:$B$22,0)-1)*9+MATCH("God",Parsed!$C$2:$C$10,0)),0)+IF(INDEX(Parsed!$K$2:$K$190,(MATCH(A83,Data!$B$2:$B$22,0)-1)*9+MATCH("Politics",Parsed!$C$2:$C$10,0))=INDEX(Parsed!$H$2:$H$190,(MATCH(B83,Data!$B$2:$B$22,0)-1)*9+MATCH("Politics",Parsed!$C$2:$C$10,0)),INDEX(Parsed!$M$2:$M$190,(MATCH(A83,Data!$B$2:$B$22,0)-1)*9+MATCH("Politics",Parsed!$C$2:$C$10,0))*INDEX(Parsed!$I$2:$I$190,(MATCH(B83,Data!$B$2:$B$22,0)-1)*9+MATCH("Politics",Parsed!$C$2:$C$10,0)),0)+IF(INDEX(Parsed!$K$2:$K$190,(MATCH(A83,Data!$B$2:$B$22,0)-1)*9+MATCH("Marriage",Parsed!$C$2:$C$10,0))=INDEX(Parsed!$H$2:$H$190,(MATCH(B83,Data!$B$2:$B$22,0)-1)*9+MATCH("Marriage",Parsed!$C$2:$C$10,0)),INDEX(Parsed!$M$2:$M$190,(MATCH(A83,Data!$B$2:$B$22,0)-1)*9+MATCH("Marriage",Parsed!$C$2:$C$10,0))*INDEX(Parsed!$I$2:$I$190,(MATCH(B83,Data!$B$2:$B$22,0)-1)*9+MATCH("Marriage",Parsed!$C$2:$C$10,0)),0)+IF(INDEX(Parsed!$K$2:$K$190,(MATCH(A83,Data!$B$2:$B$22,0)-1)*9+MATCH("Children",Parsed!$C$2:$C$10,0))=INDEX(Parsed!$H$2:$H$190,(MATCH(B83,Data!$B$2:$B$22,0)-1)*9+MATCH("Children",Parsed!$C$2:$C$10,0)),INDEX(Parsed!$M$2:$M$190,(MATCH(A83,Data!$B$2:$B$22,0)-1)*9+MATCH("Children",Parsed!$C$2:$C$10,0))*INDEX(Parsed!$I$2:$I$190,(MATCH(B83,Data!$B$2:$B$22,0)-1)*9+MATCH("Children",Parsed!$C$2:$C$10,0)),0)+IF(INDEX(Parsed!$K$2:$K$190,(MATCH(A83,Data!$B$2:$B$22,0)-1)*9+MATCH("Ethicity",Parsed!$C$2:$C$10,0))=INDEX(Parsed!$H$2:$H$190,(MATCH(B83,Data!$B$2:$B$22,0)-1)*9+MATCH("Ethicity",Parsed!$C$2:$C$10,0)),INDEX(Parsed!$M$2:$M$190,(MATCH(A83,Data!$B$2:$B$22,0)-1)*9+MATCH("Ethicity",Parsed!$C$2:$C$10,0))*INDEX(Parsed!$I$2:$I$190,(MATCH(B83,Data!$B$2:$B$22,0)-1)*9+MATCH("Ethicity",Parsed!$C$2:$C$10,0)),0)+IF(INDEX(Parsed!$K$2:$K$190,(MATCH(A83,Data!$B$2:$B$22,0)-1)*9+MATCH("Past",Parsed!$C$2:$C$10,0))=INDEX(Parsed!$H$2:$H$190,(MATCH(B83,Data!$B$2:$B$22,0)-1)*9+MATCH("Past",Parsed!$C$2:$C$10,0)),INDEX(Parsed!$M$2:$M$190,(MATCH(A83,Data!$B$2:$B$22,0)-1)*9+MATCH("Past",Parsed!$C$2:$C$10,0))*INDEX(Parsed!$I$2:$I$190,(MATCH(B83,Data!$B$2:$B$22,0)-1)*9+MATCH("Past",Parsed!$C$2:$C$10,0)),0)+IF(INDEX(Parsed!$K$2:$K$190,(MATCH(A83,Data!$B$2:$B$22,0)-1)*9+MATCH("D/S",Parsed!$C$2:$C$10,0))=INDEX(Parsed!$H$2:$H$190,(MATCH(B83,Data!$B$2:$B$22,0)-1)*9+MATCH("D/S",Parsed!$C$2:$C$10,0)),INDEX(Parsed!$M$2:$M$190,(MATCH(A83,Data!$B$2:$B$22,0)-1)*9+MATCH("D/S",Parsed!$C$2:$C$10,0))*INDEX(Parsed!$I$2:$I$190,(MATCH(B83,Data!$B$2:$B$22,0)-1)*9+MATCH("D/S",Parsed!$C$2:$C$10,0)),0)+IF(INDEX(Parsed!$K$2:$K$190,(MATCH(A83,Data!$B$2:$B$22,0)-1)*9+MATCH("True/kind",Parsed!$C$2:$C$10,0))=INDEX(Parsed!$H$2:$H$190,(MATCH(B83,Data!$B$2:$B$22,0)-1)*9+MATCH("True/kind",Parsed!$C$2:$C$10,0)),INDEX(Parsed!$M$2:$M$190,(MATCH(A83,Data!$B$2:$B$22,0)-1)*9+MATCH("True/kind",Parsed!$C$2:$C$10,0))*INDEX(Parsed!$I$2:$I$190,(MATCH(B83,Data!$B$2:$B$22,0)-1)*9+MATCH("True/kind",Parsed!$C$2:$C$10,0)),0)+IF(INDEX(Parsed!$K$2:$K$190,(MATCH(A83,Data!$B$2:$B$22,0)-1)*9+MATCH("Animal",Parsed!$C$2:$C$10,0))=INDEX(Parsed!$H$2:$H$190,(MATCH(B83,Data!$B$2:$B$22,0)-1)*9+MATCH("Animal",Parsed!$C$2:$C$10,0)),INDEX(Parsed!$M$2:$M$190,(MATCH(A83,Data!$B$2:$B$22,0)-1)*9+MATCH("Animal",Parsed!$C$2:$C$10,0))*INDEX(Parsed!$I$2:$I$190,(MATCH(B83,Data!$B$2:$B$22,0)-1)*9+MATCH("Animal",Parsed!$C$2:$C$10,0)),0),0)</x:f>
        <x:v>42.5</x:v>
      </x:c>
      <x:c r="E83" s="11" t="n">
        <x:f>SQRT(C83*D83)</x:f>
        <x:v>51.53882032022076</x:v>
      </x:c>
    </x:row>
    <x:row r="84">
      <x:c r="A84" t="str">
        <x:v>leo</x:v>
      </x:c>
      <x:c r="B84" t="str">
        <x:v>issabel</x:v>
      </x:c>
      <x:c r="C84" s="11" t="n">
        <x:f>IFERROR(IF(INDEX(Parsed!$K$2:$K$190,(MATCH(B84,Data!$B$2:$B$22,0)-1)*9+MATCH("God",Parsed!$C$2:$C$10,0))=INDEX(Parsed!$H$2:$H$190,(MATCH(A84,Data!$B$2:$B$22,0)-1)*9+MATCH("God",Parsed!$C$2:$C$10,0)),INDEX(Parsed!$M$2:$M$190,(MATCH(B84,Data!$B$2:$B$22,0)-1)*9+MATCH("God",Parsed!$C$2:$C$10,0))*INDEX(Parsed!$I$2:$I$190,(MATCH(A84,Data!$B$2:$B$22,0)-1)*9+MATCH("God",Parsed!$C$2:$C$10,0)),0)+IF(INDEX(Parsed!$K$2:$K$190,(MATCH(B84,Data!$B$2:$B$22,0)-1)*9+MATCH("Politics",Parsed!$C$2:$C$10,0))=INDEX(Parsed!$H$2:$H$190,(MATCH(A84,Data!$B$2:$B$22,0)-1)*9+MATCH("Politics",Parsed!$C$2:$C$10,0)),INDEX(Parsed!$M$2:$M$190,(MATCH(B84,Data!$B$2:$B$22,0)-1)*9+MATCH("Politics",Parsed!$C$2:$C$10,0))*INDEX(Parsed!$I$2:$I$190,(MATCH(A84,Data!$B$2:$B$22,0)-1)*9+MATCH("Politics",Parsed!$C$2:$C$10,0)),0)+IF(INDEX(Parsed!$K$2:$K$190,(MATCH(B84,Data!$B$2:$B$22,0)-1)*9+MATCH("Marriage",Parsed!$C$2:$C$10,0))=INDEX(Parsed!$H$2:$H$190,(MATCH(A84,Data!$B$2:$B$22,0)-1)*9+MATCH("Marriage",Parsed!$C$2:$C$10,0)),INDEX(Parsed!$M$2:$M$190,(MATCH(B84,Data!$B$2:$B$22,0)-1)*9+MATCH("Marriage",Parsed!$C$2:$C$10,0))*INDEX(Parsed!$I$2:$I$190,(MATCH(A84,Data!$B$2:$B$22,0)-1)*9+MATCH("Marriage",Parsed!$C$2:$C$10,0)),0)+IF(INDEX(Parsed!$K$2:$K$190,(MATCH(B84,Data!$B$2:$B$22,0)-1)*9+MATCH("Children",Parsed!$C$2:$C$10,0))=INDEX(Parsed!$H$2:$H$190,(MATCH(A84,Data!$B$2:$B$22,0)-1)*9+MATCH("Children",Parsed!$C$2:$C$10,0)),INDEX(Parsed!$M$2:$M$190,(MATCH(B84,Data!$B$2:$B$22,0)-1)*9+MATCH("Children",Parsed!$C$2:$C$10,0))*INDEX(Parsed!$I$2:$I$190,(MATCH(A84,Data!$B$2:$B$22,0)-1)*9+MATCH("Children",Parsed!$C$2:$C$10,0)),0)+IF(INDEX(Parsed!$K$2:$K$190,(MATCH(B84,Data!$B$2:$B$22,0)-1)*9+MATCH("Ethicity",Parsed!$C$2:$C$10,0))=INDEX(Parsed!$H$2:$H$190,(MATCH(A84,Data!$B$2:$B$22,0)-1)*9+MATCH("Ethicity",Parsed!$C$2:$C$10,0)),INDEX(Parsed!$M$2:$M$190,(MATCH(B84,Data!$B$2:$B$22,0)-1)*9+MATCH("Ethicity",Parsed!$C$2:$C$10,0))*INDEX(Parsed!$I$2:$I$190,(MATCH(A84,Data!$B$2:$B$22,0)-1)*9+MATCH("Ethicity",Parsed!$C$2:$C$10,0)),0)+IF(INDEX(Parsed!$K$2:$K$190,(MATCH(B84,Data!$B$2:$B$22,0)-1)*9+MATCH("Past",Parsed!$C$2:$C$10,0))=INDEX(Parsed!$H$2:$H$190,(MATCH(A84,Data!$B$2:$B$22,0)-1)*9+MATCH("Past",Parsed!$C$2:$C$10,0)),INDEX(Parsed!$M$2:$M$190,(MATCH(B84,Data!$B$2:$B$22,0)-1)*9+MATCH("Past",Parsed!$C$2:$C$10,0))*INDEX(Parsed!$I$2:$I$190,(MATCH(A84,Data!$B$2:$B$22,0)-1)*9+MATCH("Past",Parsed!$C$2:$C$10,0)),0)+IF(INDEX(Parsed!$K$2:$K$190,(MATCH(B84,Data!$B$2:$B$22,0)-1)*9+MATCH("D/S",Parsed!$C$2:$C$10,0))=INDEX(Parsed!$H$2:$H$190,(MATCH(A84,Data!$B$2:$B$22,0)-1)*9+MATCH("D/S",Parsed!$C$2:$C$10,0)),INDEX(Parsed!$M$2:$M$190,(MATCH(B84,Data!$B$2:$B$22,0)-1)*9+MATCH("D/S",Parsed!$C$2:$C$10,0))*INDEX(Parsed!$I$2:$I$190,(MATCH(A84,Data!$B$2:$B$22,0)-1)*9+MATCH("D/S",Parsed!$C$2:$C$10,0)),0)+IF(INDEX(Parsed!$K$2:$K$190,(MATCH(B84,Data!$B$2:$B$22,0)-1)*9+MATCH("True/kind",Parsed!$C$2:$C$10,0))=INDEX(Parsed!$H$2:$H$190,(MATCH(A84,Data!$B$2:$B$22,0)-1)*9+MATCH("True/kind",Parsed!$C$2:$C$10,0)),INDEX(Parsed!$M$2:$M$190,(MATCH(B84,Data!$B$2:$B$22,0)-1)*9+MATCH("True/kind",Parsed!$C$2:$C$10,0))*INDEX(Parsed!$I$2:$I$190,(MATCH(A84,Data!$B$2:$B$22,0)-1)*9+MATCH("True/kind",Parsed!$C$2:$C$10,0)),0)+IF(INDEX(Parsed!$K$2:$K$190,(MATCH(B84,Data!$B$2:$B$22,0)-1)*9+MATCH("Animal",Parsed!$C$2:$C$10,0))=INDEX(Parsed!$H$2:$H$190,(MATCH(A84,Data!$B$2:$B$22,0)-1)*9+MATCH("Animal",Parsed!$C$2:$C$10,0)),INDEX(Parsed!$M$2:$M$190,(MATCH(B84,Data!$B$2:$B$22,0)-1)*9+MATCH("Animal",Parsed!$C$2:$C$10,0))*INDEX(Parsed!$I$2:$I$190,(MATCH(A84,Data!$B$2:$B$22,0)-1)*9+MATCH("Animal",Parsed!$C$2:$C$10,0)),0),0)</x:f>
        <x:v>92.5</x:v>
      </x:c>
      <x:c r="D84" s="11" t="n">
        <x:f>IFERROR(IF(INDEX(Parsed!$K$2:$K$190,(MATCH(A84,Data!$B$2:$B$22,0)-1)*9+MATCH("God",Parsed!$C$2:$C$10,0))=INDEX(Parsed!$H$2:$H$190,(MATCH(B84,Data!$B$2:$B$22,0)-1)*9+MATCH("God",Parsed!$C$2:$C$10,0)),INDEX(Parsed!$M$2:$M$190,(MATCH(A84,Data!$B$2:$B$22,0)-1)*9+MATCH("God",Parsed!$C$2:$C$10,0))*INDEX(Parsed!$I$2:$I$190,(MATCH(B84,Data!$B$2:$B$22,0)-1)*9+MATCH("God",Parsed!$C$2:$C$10,0)),0)+IF(INDEX(Parsed!$K$2:$K$190,(MATCH(A84,Data!$B$2:$B$22,0)-1)*9+MATCH("Politics",Parsed!$C$2:$C$10,0))=INDEX(Parsed!$H$2:$H$190,(MATCH(B84,Data!$B$2:$B$22,0)-1)*9+MATCH("Politics",Parsed!$C$2:$C$10,0)),INDEX(Parsed!$M$2:$M$190,(MATCH(A84,Data!$B$2:$B$22,0)-1)*9+MATCH("Politics",Parsed!$C$2:$C$10,0))*INDEX(Parsed!$I$2:$I$190,(MATCH(B84,Data!$B$2:$B$22,0)-1)*9+MATCH("Politics",Parsed!$C$2:$C$10,0)),0)+IF(INDEX(Parsed!$K$2:$K$190,(MATCH(A84,Data!$B$2:$B$22,0)-1)*9+MATCH("Marriage",Parsed!$C$2:$C$10,0))=INDEX(Parsed!$H$2:$H$190,(MATCH(B84,Data!$B$2:$B$22,0)-1)*9+MATCH("Marriage",Parsed!$C$2:$C$10,0)),INDEX(Parsed!$M$2:$M$190,(MATCH(A84,Data!$B$2:$B$22,0)-1)*9+MATCH("Marriage",Parsed!$C$2:$C$10,0))*INDEX(Parsed!$I$2:$I$190,(MATCH(B84,Data!$B$2:$B$22,0)-1)*9+MATCH("Marriage",Parsed!$C$2:$C$10,0)),0)+IF(INDEX(Parsed!$K$2:$K$190,(MATCH(A84,Data!$B$2:$B$22,0)-1)*9+MATCH("Children",Parsed!$C$2:$C$10,0))=INDEX(Parsed!$H$2:$H$190,(MATCH(B84,Data!$B$2:$B$22,0)-1)*9+MATCH("Children",Parsed!$C$2:$C$10,0)),INDEX(Parsed!$M$2:$M$190,(MATCH(A84,Data!$B$2:$B$22,0)-1)*9+MATCH("Children",Parsed!$C$2:$C$10,0))*INDEX(Parsed!$I$2:$I$190,(MATCH(B84,Data!$B$2:$B$22,0)-1)*9+MATCH("Children",Parsed!$C$2:$C$10,0)),0)+IF(INDEX(Parsed!$K$2:$K$190,(MATCH(A84,Data!$B$2:$B$22,0)-1)*9+MATCH("Ethicity",Parsed!$C$2:$C$10,0))=INDEX(Parsed!$H$2:$H$190,(MATCH(B84,Data!$B$2:$B$22,0)-1)*9+MATCH("Ethicity",Parsed!$C$2:$C$10,0)),INDEX(Parsed!$M$2:$M$190,(MATCH(A84,Data!$B$2:$B$22,0)-1)*9+MATCH("Ethicity",Parsed!$C$2:$C$10,0))*INDEX(Parsed!$I$2:$I$190,(MATCH(B84,Data!$B$2:$B$22,0)-1)*9+MATCH("Ethicity",Parsed!$C$2:$C$10,0)),0)+IF(INDEX(Parsed!$K$2:$K$190,(MATCH(A84,Data!$B$2:$B$22,0)-1)*9+MATCH("Past",Parsed!$C$2:$C$10,0))=INDEX(Parsed!$H$2:$H$190,(MATCH(B84,Data!$B$2:$B$22,0)-1)*9+MATCH("Past",Parsed!$C$2:$C$10,0)),INDEX(Parsed!$M$2:$M$190,(MATCH(A84,Data!$B$2:$B$22,0)-1)*9+MATCH("Past",Parsed!$C$2:$C$10,0))*INDEX(Parsed!$I$2:$I$190,(MATCH(B84,Data!$B$2:$B$22,0)-1)*9+MATCH("Past",Parsed!$C$2:$C$10,0)),0)+IF(INDEX(Parsed!$K$2:$K$190,(MATCH(A84,Data!$B$2:$B$22,0)-1)*9+MATCH("D/S",Parsed!$C$2:$C$10,0))=INDEX(Parsed!$H$2:$H$190,(MATCH(B84,Data!$B$2:$B$22,0)-1)*9+MATCH("D/S",Parsed!$C$2:$C$10,0)),INDEX(Parsed!$M$2:$M$190,(MATCH(A84,Data!$B$2:$B$22,0)-1)*9+MATCH("D/S",Parsed!$C$2:$C$10,0))*INDEX(Parsed!$I$2:$I$190,(MATCH(B84,Data!$B$2:$B$22,0)-1)*9+MATCH("D/S",Parsed!$C$2:$C$10,0)),0)+IF(INDEX(Parsed!$K$2:$K$190,(MATCH(A84,Data!$B$2:$B$22,0)-1)*9+MATCH("True/kind",Parsed!$C$2:$C$10,0))=INDEX(Parsed!$H$2:$H$190,(MATCH(B84,Data!$B$2:$B$22,0)-1)*9+MATCH("True/kind",Parsed!$C$2:$C$10,0)),INDEX(Parsed!$M$2:$M$190,(MATCH(A84,Data!$B$2:$B$22,0)-1)*9+MATCH("True/kind",Parsed!$C$2:$C$10,0))*INDEX(Parsed!$I$2:$I$190,(MATCH(B84,Data!$B$2:$B$22,0)-1)*9+MATCH("True/kind",Parsed!$C$2:$C$10,0)),0)+IF(INDEX(Parsed!$K$2:$K$190,(MATCH(A84,Data!$B$2:$B$22,0)-1)*9+MATCH("Animal",Parsed!$C$2:$C$10,0))=INDEX(Parsed!$H$2:$H$190,(MATCH(B84,Data!$B$2:$B$22,0)-1)*9+MATCH("Animal",Parsed!$C$2:$C$10,0)),INDEX(Parsed!$M$2:$M$190,(MATCH(A84,Data!$B$2:$B$22,0)-1)*9+MATCH("Animal",Parsed!$C$2:$C$10,0))*INDEX(Parsed!$I$2:$I$190,(MATCH(B84,Data!$B$2:$B$22,0)-1)*9+MATCH("Animal",Parsed!$C$2:$C$10,0)),0),0)</x:f>
        <x:v>95</x:v>
      </x:c>
      <x:c r="E84" s="11" t="n">
        <x:f>SQRT(C84*D84)</x:f>
        <x:v>93.74166629626338</x:v>
      </x:c>
    </x:row>
    <x:row r="85">
      <x:c r="A85" t="str">
        <x:v>leo</x:v>
      </x:c>
      <x:c r="B85" t="str">
        <x:v>lydia</x:v>
      </x:c>
      <x:c r="C85" s="11" t="n">
        <x:f>IFERROR(IF(INDEX(Parsed!$K$2:$K$190,(MATCH(B85,Data!$B$2:$B$22,0)-1)*9+MATCH("God",Parsed!$C$2:$C$10,0))=INDEX(Parsed!$H$2:$H$190,(MATCH(A85,Data!$B$2:$B$22,0)-1)*9+MATCH("God",Parsed!$C$2:$C$10,0)),INDEX(Parsed!$M$2:$M$190,(MATCH(B85,Data!$B$2:$B$22,0)-1)*9+MATCH("God",Parsed!$C$2:$C$10,0))*INDEX(Parsed!$I$2:$I$190,(MATCH(A85,Data!$B$2:$B$22,0)-1)*9+MATCH("God",Parsed!$C$2:$C$10,0)),0)+IF(INDEX(Parsed!$K$2:$K$190,(MATCH(B85,Data!$B$2:$B$22,0)-1)*9+MATCH("Politics",Parsed!$C$2:$C$10,0))=INDEX(Parsed!$H$2:$H$190,(MATCH(A85,Data!$B$2:$B$22,0)-1)*9+MATCH("Politics",Parsed!$C$2:$C$10,0)),INDEX(Parsed!$M$2:$M$190,(MATCH(B85,Data!$B$2:$B$22,0)-1)*9+MATCH("Politics",Parsed!$C$2:$C$10,0))*INDEX(Parsed!$I$2:$I$190,(MATCH(A85,Data!$B$2:$B$22,0)-1)*9+MATCH("Politics",Parsed!$C$2:$C$10,0)),0)+IF(INDEX(Parsed!$K$2:$K$190,(MATCH(B85,Data!$B$2:$B$22,0)-1)*9+MATCH("Marriage",Parsed!$C$2:$C$10,0))=INDEX(Parsed!$H$2:$H$190,(MATCH(A85,Data!$B$2:$B$22,0)-1)*9+MATCH("Marriage",Parsed!$C$2:$C$10,0)),INDEX(Parsed!$M$2:$M$190,(MATCH(B85,Data!$B$2:$B$22,0)-1)*9+MATCH("Marriage",Parsed!$C$2:$C$10,0))*INDEX(Parsed!$I$2:$I$190,(MATCH(A85,Data!$B$2:$B$22,0)-1)*9+MATCH("Marriage",Parsed!$C$2:$C$10,0)),0)+IF(INDEX(Parsed!$K$2:$K$190,(MATCH(B85,Data!$B$2:$B$22,0)-1)*9+MATCH("Children",Parsed!$C$2:$C$10,0))=INDEX(Parsed!$H$2:$H$190,(MATCH(A85,Data!$B$2:$B$22,0)-1)*9+MATCH("Children",Parsed!$C$2:$C$10,0)),INDEX(Parsed!$M$2:$M$190,(MATCH(B85,Data!$B$2:$B$22,0)-1)*9+MATCH("Children",Parsed!$C$2:$C$10,0))*INDEX(Parsed!$I$2:$I$190,(MATCH(A85,Data!$B$2:$B$22,0)-1)*9+MATCH("Children",Parsed!$C$2:$C$10,0)),0)+IF(INDEX(Parsed!$K$2:$K$190,(MATCH(B85,Data!$B$2:$B$22,0)-1)*9+MATCH("Ethicity",Parsed!$C$2:$C$10,0))=INDEX(Parsed!$H$2:$H$190,(MATCH(A85,Data!$B$2:$B$22,0)-1)*9+MATCH("Ethicity",Parsed!$C$2:$C$10,0)),INDEX(Parsed!$M$2:$M$190,(MATCH(B85,Data!$B$2:$B$22,0)-1)*9+MATCH("Ethicity",Parsed!$C$2:$C$10,0))*INDEX(Parsed!$I$2:$I$190,(MATCH(A85,Data!$B$2:$B$22,0)-1)*9+MATCH("Ethicity",Parsed!$C$2:$C$10,0)),0)+IF(INDEX(Parsed!$K$2:$K$190,(MATCH(B85,Data!$B$2:$B$22,0)-1)*9+MATCH("Past",Parsed!$C$2:$C$10,0))=INDEX(Parsed!$H$2:$H$190,(MATCH(A85,Data!$B$2:$B$22,0)-1)*9+MATCH("Past",Parsed!$C$2:$C$10,0)),INDEX(Parsed!$M$2:$M$190,(MATCH(B85,Data!$B$2:$B$22,0)-1)*9+MATCH("Past",Parsed!$C$2:$C$10,0))*INDEX(Parsed!$I$2:$I$190,(MATCH(A85,Data!$B$2:$B$22,0)-1)*9+MATCH("Past",Parsed!$C$2:$C$10,0)),0)+IF(INDEX(Parsed!$K$2:$K$190,(MATCH(B85,Data!$B$2:$B$22,0)-1)*9+MATCH("D/S",Parsed!$C$2:$C$10,0))=INDEX(Parsed!$H$2:$H$190,(MATCH(A85,Data!$B$2:$B$22,0)-1)*9+MATCH("D/S",Parsed!$C$2:$C$10,0)),INDEX(Parsed!$M$2:$M$190,(MATCH(B85,Data!$B$2:$B$22,0)-1)*9+MATCH("D/S",Parsed!$C$2:$C$10,0))*INDEX(Parsed!$I$2:$I$190,(MATCH(A85,Data!$B$2:$B$22,0)-1)*9+MATCH("D/S",Parsed!$C$2:$C$10,0)),0)+IF(INDEX(Parsed!$K$2:$K$190,(MATCH(B85,Data!$B$2:$B$22,0)-1)*9+MATCH("True/kind",Parsed!$C$2:$C$10,0))=INDEX(Parsed!$H$2:$H$190,(MATCH(A85,Data!$B$2:$B$22,0)-1)*9+MATCH("True/kind",Parsed!$C$2:$C$10,0)),INDEX(Parsed!$M$2:$M$190,(MATCH(B85,Data!$B$2:$B$22,0)-1)*9+MATCH("True/kind",Parsed!$C$2:$C$10,0))*INDEX(Parsed!$I$2:$I$190,(MATCH(A85,Data!$B$2:$B$22,0)-1)*9+MATCH("True/kind",Parsed!$C$2:$C$10,0)),0)+IF(INDEX(Parsed!$K$2:$K$190,(MATCH(B85,Data!$B$2:$B$22,0)-1)*9+MATCH("Animal",Parsed!$C$2:$C$10,0))=INDEX(Parsed!$H$2:$H$190,(MATCH(A85,Data!$B$2:$B$22,0)-1)*9+MATCH("Animal",Parsed!$C$2:$C$10,0)),INDEX(Parsed!$M$2:$M$190,(MATCH(B85,Data!$B$2:$B$22,0)-1)*9+MATCH("Animal",Parsed!$C$2:$C$10,0))*INDEX(Parsed!$I$2:$I$190,(MATCH(A85,Data!$B$2:$B$22,0)-1)*9+MATCH("Animal",Parsed!$C$2:$C$10,0)),0),0)</x:f>
        <x:v>62.5</x:v>
      </x:c>
      <x:c r="D85" s="11" t="n">
        <x:f>IFERROR(IF(INDEX(Parsed!$K$2:$K$190,(MATCH(A85,Data!$B$2:$B$22,0)-1)*9+MATCH("God",Parsed!$C$2:$C$10,0))=INDEX(Parsed!$H$2:$H$190,(MATCH(B85,Data!$B$2:$B$22,0)-1)*9+MATCH("God",Parsed!$C$2:$C$10,0)),INDEX(Parsed!$M$2:$M$190,(MATCH(A85,Data!$B$2:$B$22,0)-1)*9+MATCH("God",Parsed!$C$2:$C$10,0))*INDEX(Parsed!$I$2:$I$190,(MATCH(B85,Data!$B$2:$B$22,0)-1)*9+MATCH("God",Parsed!$C$2:$C$10,0)),0)+IF(INDEX(Parsed!$K$2:$K$190,(MATCH(A85,Data!$B$2:$B$22,0)-1)*9+MATCH("Politics",Parsed!$C$2:$C$10,0))=INDEX(Parsed!$H$2:$H$190,(MATCH(B85,Data!$B$2:$B$22,0)-1)*9+MATCH("Politics",Parsed!$C$2:$C$10,0)),INDEX(Parsed!$M$2:$M$190,(MATCH(A85,Data!$B$2:$B$22,0)-1)*9+MATCH("Politics",Parsed!$C$2:$C$10,0))*INDEX(Parsed!$I$2:$I$190,(MATCH(B85,Data!$B$2:$B$22,0)-1)*9+MATCH("Politics",Parsed!$C$2:$C$10,0)),0)+IF(INDEX(Parsed!$K$2:$K$190,(MATCH(A85,Data!$B$2:$B$22,0)-1)*9+MATCH("Marriage",Parsed!$C$2:$C$10,0))=INDEX(Parsed!$H$2:$H$190,(MATCH(B85,Data!$B$2:$B$22,0)-1)*9+MATCH("Marriage",Parsed!$C$2:$C$10,0)),INDEX(Parsed!$M$2:$M$190,(MATCH(A85,Data!$B$2:$B$22,0)-1)*9+MATCH("Marriage",Parsed!$C$2:$C$10,0))*INDEX(Parsed!$I$2:$I$190,(MATCH(B85,Data!$B$2:$B$22,0)-1)*9+MATCH("Marriage",Parsed!$C$2:$C$10,0)),0)+IF(INDEX(Parsed!$K$2:$K$190,(MATCH(A85,Data!$B$2:$B$22,0)-1)*9+MATCH("Children",Parsed!$C$2:$C$10,0))=INDEX(Parsed!$H$2:$H$190,(MATCH(B85,Data!$B$2:$B$22,0)-1)*9+MATCH("Children",Parsed!$C$2:$C$10,0)),INDEX(Parsed!$M$2:$M$190,(MATCH(A85,Data!$B$2:$B$22,0)-1)*9+MATCH("Children",Parsed!$C$2:$C$10,0))*INDEX(Parsed!$I$2:$I$190,(MATCH(B85,Data!$B$2:$B$22,0)-1)*9+MATCH("Children",Parsed!$C$2:$C$10,0)),0)+IF(INDEX(Parsed!$K$2:$K$190,(MATCH(A85,Data!$B$2:$B$22,0)-1)*9+MATCH("Ethicity",Parsed!$C$2:$C$10,0))=INDEX(Parsed!$H$2:$H$190,(MATCH(B85,Data!$B$2:$B$22,0)-1)*9+MATCH("Ethicity",Parsed!$C$2:$C$10,0)),INDEX(Parsed!$M$2:$M$190,(MATCH(A85,Data!$B$2:$B$22,0)-1)*9+MATCH("Ethicity",Parsed!$C$2:$C$10,0))*INDEX(Parsed!$I$2:$I$190,(MATCH(B85,Data!$B$2:$B$22,0)-1)*9+MATCH("Ethicity",Parsed!$C$2:$C$10,0)),0)+IF(INDEX(Parsed!$K$2:$K$190,(MATCH(A85,Data!$B$2:$B$22,0)-1)*9+MATCH("Past",Parsed!$C$2:$C$10,0))=INDEX(Parsed!$H$2:$H$190,(MATCH(B85,Data!$B$2:$B$22,0)-1)*9+MATCH("Past",Parsed!$C$2:$C$10,0)),INDEX(Parsed!$M$2:$M$190,(MATCH(A85,Data!$B$2:$B$22,0)-1)*9+MATCH("Past",Parsed!$C$2:$C$10,0))*INDEX(Parsed!$I$2:$I$190,(MATCH(B85,Data!$B$2:$B$22,0)-1)*9+MATCH("Past",Parsed!$C$2:$C$10,0)),0)+IF(INDEX(Parsed!$K$2:$K$190,(MATCH(A85,Data!$B$2:$B$22,0)-1)*9+MATCH("D/S",Parsed!$C$2:$C$10,0))=INDEX(Parsed!$H$2:$H$190,(MATCH(B85,Data!$B$2:$B$22,0)-1)*9+MATCH("D/S",Parsed!$C$2:$C$10,0)),INDEX(Parsed!$M$2:$M$190,(MATCH(A85,Data!$B$2:$B$22,0)-1)*9+MATCH("D/S",Parsed!$C$2:$C$10,0))*INDEX(Parsed!$I$2:$I$190,(MATCH(B85,Data!$B$2:$B$22,0)-1)*9+MATCH("D/S",Parsed!$C$2:$C$10,0)),0)+IF(INDEX(Parsed!$K$2:$K$190,(MATCH(A85,Data!$B$2:$B$22,0)-1)*9+MATCH("True/kind",Parsed!$C$2:$C$10,0))=INDEX(Parsed!$H$2:$H$190,(MATCH(B85,Data!$B$2:$B$22,0)-1)*9+MATCH("True/kind",Parsed!$C$2:$C$10,0)),INDEX(Parsed!$M$2:$M$190,(MATCH(A85,Data!$B$2:$B$22,0)-1)*9+MATCH("True/kind",Parsed!$C$2:$C$10,0))*INDEX(Parsed!$I$2:$I$190,(MATCH(B85,Data!$B$2:$B$22,0)-1)*9+MATCH("True/kind",Parsed!$C$2:$C$10,0)),0)+IF(INDEX(Parsed!$K$2:$K$190,(MATCH(A85,Data!$B$2:$B$22,0)-1)*9+MATCH("Animal",Parsed!$C$2:$C$10,0))=INDEX(Parsed!$H$2:$H$190,(MATCH(B85,Data!$B$2:$B$22,0)-1)*9+MATCH("Animal",Parsed!$C$2:$C$10,0)),INDEX(Parsed!$M$2:$M$190,(MATCH(A85,Data!$B$2:$B$22,0)-1)*9+MATCH("Animal",Parsed!$C$2:$C$10,0))*INDEX(Parsed!$I$2:$I$190,(MATCH(B85,Data!$B$2:$B$22,0)-1)*9+MATCH("Animal",Parsed!$C$2:$C$10,0)),0),0)</x:f>
        <x:v>60</x:v>
      </x:c>
      <x:c r="E85" s="11" t="n">
        <x:f>SQRT(C85*D85)</x:f>
        <x:v>61.237243569579455</x:v>
      </x:c>
    </x:row>
    <x:row r="86">
      <x:c r="A86" t="str">
        <x:v>james</x:v>
      </x:c>
      <x:c r="B86" t="str">
        <x:v>jasmine</x:v>
      </x:c>
      <x:c r="C86" s="11" t="n">
        <x:f>IFERROR(IF(INDEX(Parsed!$K$2:$K$190,(MATCH(B86,Data!$B$2:$B$22,0)-1)*9+MATCH("God",Parsed!$C$2:$C$10,0))=INDEX(Parsed!$H$2:$H$190,(MATCH(A86,Data!$B$2:$B$22,0)-1)*9+MATCH("God",Parsed!$C$2:$C$10,0)),INDEX(Parsed!$M$2:$M$190,(MATCH(B86,Data!$B$2:$B$22,0)-1)*9+MATCH("God",Parsed!$C$2:$C$10,0))*INDEX(Parsed!$I$2:$I$190,(MATCH(A86,Data!$B$2:$B$22,0)-1)*9+MATCH("God",Parsed!$C$2:$C$10,0)),0)+IF(INDEX(Parsed!$K$2:$K$190,(MATCH(B86,Data!$B$2:$B$22,0)-1)*9+MATCH("Politics",Parsed!$C$2:$C$10,0))=INDEX(Parsed!$H$2:$H$190,(MATCH(A86,Data!$B$2:$B$22,0)-1)*9+MATCH("Politics",Parsed!$C$2:$C$10,0)),INDEX(Parsed!$M$2:$M$190,(MATCH(B86,Data!$B$2:$B$22,0)-1)*9+MATCH("Politics",Parsed!$C$2:$C$10,0))*INDEX(Parsed!$I$2:$I$190,(MATCH(A86,Data!$B$2:$B$22,0)-1)*9+MATCH("Politics",Parsed!$C$2:$C$10,0)),0)+IF(INDEX(Parsed!$K$2:$K$190,(MATCH(B86,Data!$B$2:$B$22,0)-1)*9+MATCH("Marriage",Parsed!$C$2:$C$10,0))=INDEX(Parsed!$H$2:$H$190,(MATCH(A86,Data!$B$2:$B$22,0)-1)*9+MATCH("Marriage",Parsed!$C$2:$C$10,0)),INDEX(Parsed!$M$2:$M$190,(MATCH(B86,Data!$B$2:$B$22,0)-1)*9+MATCH("Marriage",Parsed!$C$2:$C$10,0))*INDEX(Parsed!$I$2:$I$190,(MATCH(A86,Data!$B$2:$B$22,0)-1)*9+MATCH("Marriage",Parsed!$C$2:$C$10,0)),0)+IF(INDEX(Parsed!$K$2:$K$190,(MATCH(B86,Data!$B$2:$B$22,0)-1)*9+MATCH("Children",Parsed!$C$2:$C$10,0))=INDEX(Parsed!$H$2:$H$190,(MATCH(A86,Data!$B$2:$B$22,0)-1)*9+MATCH("Children",Parsed!$C$2:$C$10,0)),INDEX(Parsed!$M$2:$M$190,(MATCH(B86,Data!$B$2:$B$22,0)-1)*9+MATCH("Children",Parsed!$C$2:$C$10,0))*INDEX(Parsed!$I$2:$I$190,(MATCH(A86,Data!$B$2:$B$22,0)-1)*9+MATCH("Children",Parsed!$C$2:$C$10,0)),0)+IF(INDEX(Parsed!$K$2:$K$190,(MATCH(B86,Data!$B$2:$B$22,0)-1)*9+MATCH("Ethicity",Parsed!$C$2:$C$10,0))=INDEX(Parsed!$H$2:$H$190,(MATCH(A86,Data!$B$2:$B$22,0)-1)*9+MATCH("Ethicity",Parsed!$C$2:$C$10,0)),INDEX(Parsed!$M$2:$M$190,(MATCH(B86,Data!$B$2:$B$22,0)-1)*9+MATCH("Ethicity",Parsed!$C$2:$C$10,0))*INDEX(Parsed!$I$2:$I$190,(MATCH(A86,Data!$B$2:$B$22,0)-1)*9+MATCH("Ethicity",Parsed!$C$2:$C$10,0)),0)+IF(INDEX(Parsed!$K$2:$K$190,(MATCH(B86,Data!$B$2:$B$22,0)-1)*9+MATCH("Past",Parsed!$C$2:$C$10,0))=INDEX(Parsed!$H$2:$H$190,(MATCH(A86,Data!$B$2:$B$22,0)-1)*9+MATCH("Past",Parsed!$C$2:$C$10,0)),INDEX(Parsed!$M$2:$M$190,(MATCH(B86,Data!$B$2:$B$22,0)-1)*9+MATCH("Past",Parsed!$C$2:$C$10,0))*INDEX(Parsed!$I$2:$I$190,(MATCH(A86,Data!$B$2:$B$22,0)-1)*9+MATCH("Past",Parsed!$C$2:$C$10,0)),0)+IF(INDEX(Parsed!$K$2:$K$190,(MATCH(B86,Data!$B$2:$B$22,0)-1)*9+MATCH("D/S",Parsed!$C$2:$C$10,0))=INDEX(Parsed!$H$2:$H$190,(MATCH(A86,Data!$B$2:$B$22,0)-1)*9+MATCH("D/S",Parsed!$C$2:$C$10,0)),INDEX(Parsed!$M$2:$M$190,(MATCH(B86,Data!$B$2:$B$22,0)-1)*9+MATCH("D/S",Parsed!$C$2:$C$10,0))*INDEX(Parsed!$I$2:$I$190,(MATCH(A86,Data!$B$2:$B$22,0)-1)*9+MATCH("D/S",Parsed!$C$2:$C$10,0)),0)+IF(INDEX(Parsed!$K$2:$K$190,(MATCH(B86,Data!$B$2:$B$22,0)-1)*9+MATCH("True/kind",Parsed!$C$2:$C$10,0))=INDEX(Parsed!$H$2:$H$190,(MATCH(A86,Data!$B$2:$B$22,0)-1)*9+MATCH("True/kind",Parsed!$C$2:$C$10,0)),INDEX(Parsed!$M$2:$M$190,(MATCH(B86,Data!$B$2:$B$22,0)-1)*9+MATCH("True/kind",Parsed!$C$2:$C$10,0))*INDEX(Parsed!$I$2:$I$190,(MATCH(A86,Data!$B$2:$B$22,0)-1)*9+MATCH("True/kind",Parsed!$C$2:$C$10,0)),0)+IF(INDEX(Parsed!$K$2:$K$190,(MATCH(B86,Data!$B$2:$B$22,0)-1)*9+MATCH("Animal",Parsed!$C$2:$C$10,0))=INDEX(Parsed!$H$2:$H$190,(MATCH(A86,Data!$B$2:$B$22,0)-1)*9+MATCH("Animal",Parsed!$C$2:$C$10,0)),INDEX(Parsed!$M$2:$M$190,(MATCH(B86,Data!$B$2:$B$22,0)-1)*9+MATCH("Animal",Parsed!$C$2:$C$10,0))*INDEX(Parsed!$I$2:$I$190,(MATCH(A86,Data!$B$2:$B$22,0)-1)*9+MATCH("Animal",Parsed!$C$2:$C$10,0)),0),0)</x:f>
        <x:v>22.5</x:v>
      </x:c>
      <x:c r="D86" s="11" t="n">
        <x:f>IFERROR(IF(INDEX(Parsed!$K$2:$K$190,(MATCH(A86,Data!$B$2:$B$22,0)-1)*9+MATCH("God",Parsed!$C$2:$C$10,0))=INDEX(Parsed!$H$2:$H$190,(MATCH(B86,Data!$B$2:$B$22,0)-1)*9+MATCH("God",Parsed!$C$2:$C$10,0)),INDEX(Parsed!$M$2:$M$190,(MATCH(A86,Data!$B$2:$B$22,0)-1)*9+MATCH("God",Parsed!$C$2:$C$10,0))*INDEX(Parsed!$I$2:$I$190,(MATCH(B86,Data!$B$2:$B$22,0)-1)*9+MATCH("God",Parsed!$C$2:$C$10,0)),0)+IF(INDEX(Parsed!$K$2:$K$190,(MATCH(A86,Data!$B$2:$B$22,0)-1)*9+MATCH("Politics",Parsed!$C$2:$C$10,0))=INDEX(Parsed!$H$2:$H$190,(MATCH(B86,Data!$B$2:$B$22,0)-1)*9+MATCH("Politics",Parsed!$C$2:$C$10,0)),INDEX(Parsed!$M$2:$M$190,(MATCH(A86,Data!$B$2:$B$22,0)-1)*9+MATCH("Politics",Parsed!$C$2:$C$10,0))*INDEX(Parsed!$I$2:$I$190,(MATCH(B86,Data!$B$2:$B$22,0)-1)*9+MATCH("Politics",Parsed!$C$2:$C$10,0)),0)+IF(INDEX(Parsed!$K$2:$K$190,(MATCH(A86,Data!$B$2:$B$22,0)-1)*9+MATCH("Marriage",Parsed!$C$2:$C$10,0))=INDEX(Parsed!$H$2:$H$190,(MATCH(B86,Data!$B$2:$B$22,0)-1)*9+MATCH("Marriage",Parsed!$C$2:$C$10,0)),INDEX(Parsed!$M$2:$M$190,(MATCH(A86,Data!$B$2:$B$22,0)-1)*9+MATCH("Marriage",Parsed!$C$2:$C$10,0))*INDEX(Parsed!$I$2:$I$190,(MATCH(B86,Data!$B$2:$B$22,0)-1)*9+MATCH("Marriage",Parsed!$C$2:$C$10,0)),0)+IF(INDEX(Parsed!$K$2:$K$190,(MATCH(A86,Data!$B$2:$B$22,0)-1)*9+MATCH("Children",Parsed!$C$2:$C$10,0))=INDEX(Parsed!$H$2:$H$190,(MATCH(B86,Data!$B$2:$B$22,0)-1)*9+MATCH("Children",Parsed!$C$2:$C$10,0)),INDEX(Parsed!$M$2:$M$190,(MATCH(A86,Data!$B$2:$B$22,0)-1)*9+MATCH("Children",Parsed!$C$2:$C$10,0))*INDEX(Parsed!$I$2:$I$190,(MATCH(B86,Data!$B$2:$B$22,0)-1)*9+MATCH("Children",Parsed!$C$2:$C$10,0)),0)+IF(INDEX(Parsed!$K$2:$K$190,(MATCH(A86,Data!$B$2:$B$22,0)-1)*9+MATCH("Ethicity",Parsed!$C$2:$C$10,0))=INDEX(Parsed!$H$2:$H$190,(MATCH(B86,Data!$B$2:$B$22,0)-1)*9+MATCH("Ethicity",Parsed!$C$2:$C$10,0)),INDEX(Parsed!$M$2:$M$190,(MATCH(A86,Data!$B$2:$B$22,0)-1)*9+MATCH("Ethicity",Parsed!$C$2:$C$10,0))*INDEX(Parsed!$I$2:$I$190,(MATCH(B86,Data!$B$2:$B$22,0)-1)*9+MATCH("Ethicity",Parsed!$C$2:$C$10,0)),0)+IF(INDEX(Parsed!$K$2:$K$190,(MATCH(A86,Data!$B$2:$B$22,0)-1)*9+MATCH("Past",Parsed!$C$2:$C$10,0))=INDEX(Parsed!$H$2:$H$190,(MATCH(B86,Data!$B$2:$B$22,0)-1)*9+MATCH("Past",Parsed!$C$2:$C$10,0)),INDEX(Parsed!$M$2:$M$190,(MATCH(A86,Data!$B$2:$B$22,0)-1)*9+MATCH("Past",Parsed!$C$2:$C$10,0))*INDEX(Parsed!$I$2:$I$190,(MATCH(B86,Data!$B$2:$B$22,0)-1)*9+MATCH("Past",Parsed!$C$2:$C$10,0)),0)+IF(INDEX(Parsed!$K$2:$K$190,(MATCH(A86,Data!$B$2:$B$22,0)-1)*9+MATCH("D/S",Parsed!$C$2:$C$10,0))=INDEX(Parsed!$H$2:$H$190,(MATCH(B86,Data!$B$2:$B$22,0)-1)*9+MATCH("D/S",Parsed!$C$2:$C$10,0)),INDEX(Parsed!$M$2:$M$190,(MATCH(A86,Data!$B$2:$B$22,0)-1)*9+MATCH("D/S",Parsed!$C$2:$C$10,0))*INDEX(Parsed!$I$2:$I$190,(MATCH(B86,Data!$B$2:$B$22,0)-1)*9+MATCH("D/S",Parsed!$C$2:$C$10,0)),0)+IF(INDEX(Parsed!$K$2:$K$190,(MATCH(A86,Data!$B$2:$B$22,0)-1)*9+MATCH("True/kind",Parsed!$C$2:$C$10,0))=INDEX(Parsed!$H$2:$H$190,(MATCH(B86,Data!$B$2:$B$22,0)-1)*9+MATCH("True/kind",Parsed!$C$2:$C$10,0)),INDEX(Parsed!$M$2:$M$190,(MATCH(A86,Data!$B$2:$B$22,0)-1)*9+MATCH("True/kind",Parsed!$C$2:$C$10,0))*INDEX(Parsed!$I$2:$I$190,(MATCH(B86,Data!$B$2:$B$22,0)-1)*9+MATCH("True/kind",Parsed!$C$2:$C$10,0)),0)+IF(INDEX(Parsed!$K$2:$K$190,(MATCH(A86,Data!$B$2:$B$22,0)-1)*9+MATCH("Animal",Parsed!$C$2:$C$10,0))=INDEX(Parsed!$H$2:$H$190,(MATCH(B86,Data!$B$2:$B$22,0)-1)*9+MATCH("Animal",Parsed!$C$2:$C$10,0)),INDEX(Parsed!$M$2:$M$190,(MATCH(A86,Data!$B$2:$B$22,0)-1)*9+MATCH("Animal",Parsed!$C$2:$C$10,0))*INDEX(Parsed!$I$2:$I$190,(MATCH(B86,Data!$B$2:$B$22,0)-1)*9+MATCH("Animal",Parsed!$C$2:$C$10,0)),0),0)</x:f>
        <x:v>21.25</x:v>
      </x:c>
      <x:c r="E86" s="11" t="n">
        <x:f>SQRT(C86*D86)</x:f>
        <x:v>21.86606960566988</x:v>
      </x:c>
    </x:row>
    <x:row r="87">
      <x:c r="A87" t="str">
        <x:v>james</x:v>
      </x:c>
      <x:c r="B87" t="str">
        <x:v>cathleen</x:v>
      </x:c>
      <x:c r="C87" s="11" t="n">
        <x:f>IFERROR(IF(INDEX(Parsed!$K$2:$K$190,(MATCH(B87,Data!$B$2:$B$22,0)-1)*9+MATCH("God",Parsed!$C$2:$C$10,0))=INDEX(Parsed!$H$2:$H$190,(MATCH(A87,Data!$B$2:$B$22,0)-1)*9+MATCH("God",Parsed!$C$2:$C$10,0)),INDEX(Parsed!$M$2:$M$190,(MATCH(B87,Data!$B$2:$B$22,0)-1)*9+MATCH("God",Parsed!$C$2:$C$10,0))*INDEX(Parsed!$I$2:$I$190,(MATCH(A87,Data!$B$2:$B$22,0)-1)*9+MATCH("God",Parsed!$C$2:$C$10,0)),0)+IF(INDEX(Parsed!$K$2:$K$190,(MATCH(B87,Data!$B$2:$B$22,0)-1)*9+MATCH("Politics",Parsed!$C$2:$C$10,0))=INDEX(Parsed!$H$2:$H$190,(MATCH(A87,Data!$B$2:$B$22,0)-1)*9+MATCH("Politics",Parsed!$C$2:$C$10,0)),INDEX(Parsed!$M$2:$M$190,(MATCH(B87,Data!$B$2:$B$22,0)-1)*9+MATCH("Politics",Parsed!$C$2:$C$10,0))*INDEX(Parsed!$I$2:$I$190,(MATCH(A87,Data!$B$2:$B$22,0)-1)*9+MATCH("Politics",Parsed!$C$2:$C$10,0)),0)+IF(INDEX(Parsed!$K$2:$K$190,(MATCH(B87,Data!$B$2:$B$22,0)-1)*9+MATCH("Marriage",Parsed!$C$2:$C$10,0))=INDEX(Parsed!$H$2:$H$190,(MATCH(A87,Data!$B$2:$B$22,0)-1)*9+MATCH("Marriage",Parsed!$C$2:$C$10,0)),INDEX(Parsed!$M$2:$M$190,(MATCH(B87,Data!$B$2:$B$22,0)-1)*9+MATCH("Marriage",Parsed!$C$2:$C$10,0))*INDEX(Parsed!$I$2:$I$190,(MATCH(A87,Data!$B$2:$B$22,0)-1)*9+MATCH("Marriage",Parsed!$C$2:$C$10,0)),0)+IF(INDEX(Parsed!$K$2:$K$190,(MATCH(B87,Data!$B$2:$B$22,0)-1)*9+MATCH("Children",Parsed!$C$2:$C$10,0))=INDEX(Parsed!$H$2:$H$190,(MATCH(A87,Data!$B$2:$B$22,0)-1)*9+MATCH("Children",Parsed!$C$2:$C$10,0)),INDEX(Parsed!$M$2:$M$190,(MATCH(B87,Data!$B$2:$B$22,0)-1)*9+MATCH("Children",Parsed!$C$2:$C$10,0))*INDEX(Parsed!$I$2:$I$190,(MATCH(A87,Data!$B$2:$B$22,0)-1)*9+MATCH("Children",Parsed!$C$2:$C$10,0)),0)+IF(INDEX(Parsed!$K$2:$K$190,(MATCH(B87,Data!$B$2:$B$22,0)-1)*9+MATCH("Ethicity",Parsed!$C$2:$C$10,0))=INDEX(Parsed!$H$2:$H$190,(MATCH(A87,Data!$B$2:$B$22,0)-1)*9+MATCH("Ethicity",Parsed!$C$2:$C$10,0)),INDEX(Parsed!$M$2:$M$190,(MATCH(B87,Data!$B$2:$B$22,0)-1)*9+MATCH("Ethicity",Parsed!$C$2:$C$10,0))*INDEX(Parsed!$I$2:$I$190,(MATCH(A87,Data!$B$2:$B$22,0)-1)*9+MATCH("Ethicity",Parsed!$C$2:$C$10,0)),0)+IF(INDEX(Parsed!$K$2:$K$190,(MATCH(B87,Data!$B$2:$B$22,0)-1)*9+MATCH("Past",Parsed!$C$2:$C$10,0))=INDEX(Parsed!$H$2:$H$190,(MATCH(A87,Data!$B$2:$B$22,0)-1)*9+MATCH("Past",Parsed!$C$2:$C$10,0)),INDEX(Parsed!$M$2:$M$190,(MATCH(B87,Data!$B$2:$B$22,0)-1)*9+MATCH("Past",Parsed!$C$2:$C$10,0))*INDEX(Parsed!$I$2:$I$190,(MATCH(A87,Data!$B$2:$B$22,0)-1)*9+MATCH("Past",Parsed!$C$2:$C$10,0)),0)+IF(INDEX(Parsed!$K$2:$K$190,(MATCH(B87,Data!$B$2:$B$22,0)-1)*9+MATCH("D/S",Parsed!$C$2:$C$10,0))=INDEX(Parsed!$H$2:$H$190,(MATCH(A87,Data!$B$2:$B$22,0)-1)*9+MATCH("D/S",Parsed!$C$2:$C$10,0)),INDEX(Parsed!$M$2:$M$190,(MATCH(B87,Data!$B$2:$B$22,0)-1)*9+MATCH("D/S",Parsed!$C$2:$C$10,0))*INDEX(Parsed!$I$2:$I$190,(MATCH(A87,Data!$B$2:$B$22,0)-1)*9+MATCH("D/S",Parsed!$C$2:$C$10,0)),0)+IF(INDEX(Parsed!$K$2:$K$190,(MATCH(B87,Data!$B$2:$B$22,0)-1)*9+MATCH("True/kind",Parsed!$C$2:$C$10,0))=INDEX(Parsed!$H$2:$H$190,(MATCH(A87,Data!$B$2:$B$22,0)-1)*9+MATCH("True/kind",Parsed!$C$2:$C$10,0)),INDEX(Parsed!$M$2:$M$190,(MATCH(B87,Data!$B$2:$B$22,0)-1)*9+MATCH("True/kind",Parsed!$C$2:$C$10,0))*INDEX(Parsed!$I$2:$I$190,(MATCH(A87,Data!$B$2:$B$22,0)-1)*9+MATCH("True/kind",Parsed!$C$2:$C$10,0)),0)+IF(INDEX(Parsed!$K$2:$K$190,(MATCH(B87,Data!$B$2:$B$22,0)-1)*9+MATCH("Animal",Parsed!$C$2:$C$10,0))=INDEX(Parsed!$H$2:$H$190,(MATCH(A87,Data!$B$2:$B$22,0)-1)*9+MATCH("Animal",Parsed!$C$2:$C$10,0)),INDEX(Parsed!$M$2:$M$190,(MATCH(B87,Data!$B$2:$B$22,0)-1)*9+MATCH("Animal",Parsed!$C$2:$C$10,0))*INDEX(Parsed!$I$2:$I$190,(MATCH(A87,Data!$B$2:$B$22,0)-1)*9+MATCH("Animal",Parsed!$C$2:$C$10,0)),0),0)</x:f>
        <x:v>41.25</x:v>
      </x:c>
      <x:c r="D87" s="11" t="n">
        <x:f>IFERROR(IF(INDEX(Parsed!$K$2:$K$190,(MATCH(A87,Data!$B$2:$B$22,0)-1)*9+MATCH("God",Parsed!$C$2:$C$10,0))=INDEX(Parsed!$H$2:$H$190,(MATCH(B87,Data!$B$2:$B$22,0)-1)*9+MATCH("God",Parsed!$C$2:$C$10,0)),INDEX(Parsed!$M$2:$M$190,(MATCH(A87,Data!$B$2:$B$22,0)-1)*9+MATCH("God",Parsed!$C$2:$C$10,0))*INDEX(Parsed!$I$2:$I$190,(MATCH(B87,Data!$B$2:$B$22,0)-1)*9+MATCH("God",Parsed!$C$2:$C$10,0)),0)+IF(INDEX(Parsed!$K$2:$K$190,(MATCH(A87,Data!$B$2:$B$22,0)-1)*9+MATCH("Politics",Parsed!$C$2:$C$10,0))=INDEX(Parsed!$H$2:$H$190,(MATCH(B87,Data!$B$2:$B$22,0)-1)*9+MATCH("Politics",Parsed!$C$2:$C$10,0)),INDEX(Parsed!$M$2:$M$190,(MATCH(A87,Data!$B$2:$B$22,0)-1)*9+MATCH("Politics",Parsed!$C$2:$C$10,0))*INDEX(Parsed!$I$2:$I$190,(MATCH(B87,Data!$B$2:$B$22,0)-1)*9+MATCH("Politics",Parsed!$C$2:$C$10,0)),0)+IF(INDEX(Parsed!$K$2:$K$190,(MATCH(A87,Data!$B$2:$B$22,0)-1)*9+MATCH("Marriage",Parsed!$C$2:$C$10,0))=INDEX(Parsed!$H$2:$H$190,(MATCH(B87,Data!$B$2:$B$22,0)-1)*9+MATCH("Marriage",Parsed!$C$2:$C$10,0)),INDEX(Parsed!$M$2:$M$190,(MATCH(A87,Data!$B$2:$B$22,0)-1)*9+MATCH("Marriage",Parsed!$C$2:$C$10,0))*INDEX(Parsed!$I$2:$I$190,(MATCH(B87,Data!$B$2:$B$22,0)-1)*9+MATCH("Marriage",Parsed!$C$2:$C$10,0)),0)+IF(INDEX(Parsed!$K$2:$K$190,(MATCH(A87,Data!$B$2:$B$22,0)-1)*9+MATCH("Children",Parsed!$C$2:$C$10,0))=INDEX(Parsed!$H$2:$H$190,(MATCH(B87,Data!$B$2:$B$22,0)-1)*9+MATCH("Children",Parsed!$C$2:$C$10,0)),INDEX(Parsed!$M$2:$M$190,(MATCH(A87,Data!$B$2:$B$22,0)-1)*9+MATCH("Children",Parsed!$C$2:$C$10,0))*INDEX(Parsed!$I$2:$I$190,(MATCH(B87,Data!$B$2:$B$22,0)-1)*9+MATCH("Children",Parsed!$C$2:$C$10,0)),0)+IF(INDEX(Parsed!$K$2:$K$190,(MATCH(A87,Data!$B$2:$B$22,0)-1)*9+MATCH("Ethicity",Parsed!$C$2:$C$10,0))=INDEX(Parsed!$H$2:$H$190,(MATCH(B87,Data!$B$2:$B$22,0)-1)*9+MATCH("Ethicity",Parsed!$C$2:$C$10,0)),INDEX(Parsed!$M$2:$M$190,(MATCH(A87,Data!$B$2:$B$22,0)-1)*9+MATCH("Ethicity",Parsed!$C$2:$C$10,0))*INDEX(Parsed!$I$2:$I$190,(MATCH(B87,Data!$B$2:$B$22,0)-1)*9+MATCH("Ethicity",Parsed!$C$2:$C$10,0)),0)+IF(INDEX(Parsed!$K$2:$K$190,(MATCH(A87,Data!$B$2:$B$22,0)-1)*9+MATCH("Past",Parsed!$C$2:$C$10,0))=INDEX(Parsed!$H$2:$H$190,(MATCH(B87,Data!$B$2:$B$22,0)-1)*9+MATCH("Past",Parsed!$C$2:$C$10,0)),INDEX(Parsed!$M$2:$M$190,(MATCH(A87,Data!$B$2:$B$22,0)-1)*9+MATCH("Past",Parsed!$C$2:$C$10,0))*INDEX(Parsed!$I$2:$I$190,(MATCH(B87,Data!$B$2:$B$22,0)-1)*9+MATCH("Past",Parsed!$C$2:$C$10,0)),0)+IF(INDEX(Parsed!$K$2:$K$190,(MATCH(A87,Data!$B$2:$B$22,0)-1)*9+MATCH("D/S",Parsed!$C$2:$C$10,0))=INDEX(Parsed!$H$2:$H$190,(MATCH(B87,Data!$B$2:$B$22,0)-1)*9+MATCH("D/S",Parsed!$C$2:$C$10,0)),INDEX(Parsed!$M$2:$M$190,(MATCH(A87,Data!$B$2:$B$22,0)-1)*9+MATCH("D/S",Parsed!$C$2:$C$10,0))*INDEX(Parsed!$I$2:$I$190,(MATCH(B87,Data!$B$2:$B$22,0)-1)*9+MATCH("D/S",Parsed!$C$2:$C$10,0)),0)+IF(INDEX(Parsed!$K$2:$K$190,(MATCH(A87,Data!$B$2:$B$22,0)-1)*9+MATCH("True/kind",Parsed!$C$2:$C$10,0))=INDEX(Parsed!$H$2:$H$190,(MATCH(B87,Data!$B$2:$B$22,0)-1)*9+MATCH("True/kind",Parsed!$C$2:$C$10,0)),INDEX(Parsed!$M$2:$M$190,(MATCH(A87,Data!$B$2:$B$22,0)-1)*9+MATCH("True/kind",Parsed!$C$2:$C$10,0))*INDEX(Parsed!$I$2:$I$190,(MATCH(B87,Data!$B$2:$B$22,0)-1)*9+MATCH("True/kind",Parsed!$C$2:$C$10,0)),0)+IF(INDEX(Parsed!$K$2:$K$190,(MATCH(A87,Data!$B$2:$B$22,0)-1)*9+MATCH("Animal",Parsed!$C$2:$C$10,0))=INDEX(Parsed!$H$2:$H$190,(MATCH(B87,Data!$B$2:$B$22,0)-1)*9+MATCH("Animal",Parsed!$C$2:$C$10,0)),INDEX(Parsed!$M$2:$M$190,(MATCH(A87,Data!$B$2:$B$22,0)-1)*9+MATCH("Animal",Parsed!$C$2:$C$10,0))*INDEX(Parsed!$I$2:$I$190,(MATCH(B87,Data!$B$2:$B$22,0)-1)*9+MATCH("Animal",Parsed!$C$2:$C$10,0)),0),0)</x:f>
        <x:v>70</x:v>
      </x:c>
      <x:c r="E87" s="11" t="n">
        <x:f>SQRT(C87*D87)</x:f>
        <x:v>53.73546315051169</x:v>
      </x:c>
    </x:row>
    <x:row r="88">
      <x:c r="A88" t="str">
        <x:v>james</x:v>
      </x:c>
      <x:c r="B88" t="str">
        <x:v>edith</x:v>
      </x:c>
      <x:c r="C88" s="11" t="n">
        <x:f>IFERROR(IF(INDEX(Parsed!$K$2:$K$190,(MATCH(B88,Data!$B$2:$B$22,0)-1)*9+MATCH("God",Parsed!$C$2:$C$10,0))=INDEX(Parsed!$H$2:$H$190,(MATCH(A88,Data!$B$2:$B$22,0)-1)*9+MATCH("God",Parsed!$C$2:$C$10,0)),INDEX(Parsed!$M$2:$M$190,(MATCH(B88,Data!$B$2:$B$22,0)-1)*9+MATCH("God",Parsed!$C$2:$C$10,0))*INDEX(Parsed!$I$2:$I$190,(MATCH(A88,Data!$B$2:$B$22,0)-1)*9+MATCH("God",Parsed!$C$2:$C$10,0)),0)+IF(INDEX(Parsed!$K$2:$K$190,(MATCH(B88,Data!$B$2:$B$22,0)-1)*9+MATCH("Politics",Parsed!$C$2:$C$10,0))=INDEX(Parsed!$H$2:$H$190,(MATCH(A88,Data!$B$2:$B$22,0)-1)*9+MATCH("Politics",Parsed!$C$2:$C$10,0)),INDEX(Parsed!$M$2:$M$190,(MATCH(B88,Data!$B$2:$B$22,0)-1)*9+MATCH("Politics",Parsed!$C$2:$C$10,0))*INDEX(Parsed!$I$2:$I$190,(MATCH(A88,Data!$B$2:$B$22,0)-1)*9+MATCH("Politics",Parsed!$C$2:$C$10,0)),0)+IF(INDEX(Parsed!$K$2:$K$190,(MATCH(B88,Data!$B$2:$B$22,0)-1)*9+MATCH("Marriage",Parsed!$C$2:$C$10,0))=INDEX(Parsed!$H$2:$H$190,(MATCH(A88,Data!$B$2:$B$22,0)-1)*9+MATCH("Marriage",Parsed!$C$2:$C$10,0)),INDEX(Parsed!$M$2:$M$190,(MATCH(B88,Data!$B$2:$B$22,0)-1)*9+MATCH("Marriage",Parsed!$C$2:$C$10,0))*INDEX(Parsed!$I$2:$I$190,(MATCH(A88,Data!$B$2:$B$22,0)-1)*9+MATCH("Marriage",Parsed!$C$2:$C$10,0)),0)+IF(INDEX(Parsed!$K$2:$K$190,(MATCH(B88,Data!$B$2:$B$22,0)-1)*9+MATCH("Children",Parsed!$C$2:$C$10,0))=INDEX(Parsed!$H$2:$H$190,(MATCH(A88,Data!$B$2:$B$22,0)-1)*9+MATCH("Children",Parsed!$C$2:$C$10,0)),INDEX(Parsed!$M$2:$M$190,(MATCH(B88,Data!$B$2:$B$22,0)-1)*9+MATCH("Children",Parsed!$C$2:$C$10,0))*INDEX(Parsed!$I$2:$I$190,(MATCH(A88,Data!$B$2:$B$22,0)-1)*9+MATCH("Children",Parsed!$C$2:$C$10,0)),0)+IF(INDEX(Parsed!$K$2:$K$190,(MATCH(B88,Data!$B$2:$B$22,0)-1)*9+MATCH("Ethicity",Parsed!$C$2:$C$10,0))=INDEX(Parsed!$H$2:$H$190,(MATCH(A88,Data!$B$2:$B$22,0)-1)*9+MATCH("Ethicity",Parsed!$C$2:$C$10,0)),INDEX(Parsed!$M$2:$M$190,(MATCH(B88,Data!$B$2:$B$22,0)-1)*9+MATCH("Ethicity",Parsed!$C$2:$C$10,0))*INDEX(Parsed!$I$2:$I$190,(MATCH(A88,Data!$B$2:$B$22,0)-1)*9+MATCH("Ethicity",Parsed!$C$2:$C$10,0)),0)+IF(INDEX(Parsed!$K$2:$K$190,(MATCH(B88,Data!$B$2:$B$22,0)-1)*9+MATCH("Past",Parsed!$C$2:$C$10,0))=INDEX(Parsed!$H$2:$H$190,(MATCH(A88,Data!$B$2:$B$22,0)-1)*9+MATCH("Past",Parsed!$C$2:$C$10,0)),INDEX(Parsed!$M$2:$M$190,(MATCH(B88,Data!$B$2:$B$22,0)-1)*9+MATCH("Past",Parsed!$C$2:$C$10,0))*INDEX(Parsed!$I$2:$I$190,(MATCH(A88,Data!$B$2:$B$22,0)-1)*9+MATCH("Past",Parsed!$C$2:$C$10,0)),0)+IF(INDEX(Parsed!$K$2:$K$190,(MATCH(B88,Data!$B$2:$B$22,0)-1)*9+MATCH("D/S",Parsed!$C$2:$C$10,0))=INDEX(Parsed!$H$2:$H$190,(MATCH(A88,Data!$B$2:$B$22,0)-1)*9+MATCH("D/S",Parsed!$C$2:$C$10,0)),INDEX(Parsed!$M$2:$M$190,(MATCH(B88,Data!$B$2:$B$22,0)-1)*9+MATCH("D/S",Parsed!$C$2:$C$10,0))*INDEX(Parsed!$I$2:$I$190,(MATCH(A88,Data!$B$2:$B$22,0)-1)*9+MATCH("D/S",Parsed!$C$2:$C$10,0)),0)+IF(INDEX(Parsed!$K$2:$K$190,(MATCH(B88,Data!$B$2:$B$22,0)-1)*9+MATCH("True/kind",Parsed!$C$2:$C$10,0))=INDEX(Parsed!$H$2:$H$190,(MATCH(A88,Data!$B$2:$B$22,0)-1)*9+MATCH("True/kind",Parsed!$C$2:$C$10,0)),INDEX(Parsed!$M$2:$M$190,(MATCH(B88,Data!$B$2:$B$22,0)-1)*9+MATCH("True/kind",Parsed!$C$2:$C$10,0))*INDEX(Parsed!$I$2:$I$190,(MATCH(A88,Data!$B$2:$B$22,0)-1)*9+MATCH("True/kind",Parsed!$C$2:$C$10,0)),0)+IF(INDEX(Parsed!$K$2:$K$190,(MATCH(B88,Data!$B$2:$B$22,0)-1)*9+MATCH("Animal",Parsed!$C$2:$C$10,0))=INDEX(Parsed!$H$2:$H$190,(MATCH(A88,Data!$B$2:$B$22,0)-1)*9+MATCH("Animal",Parsed!$C$2:$C$10,0)),INDEX(Parsed!$M$2:$M$190,(MATCH(B88,Data!$B$2:$B$22,0)-1)*9+MATCH("Animal",Parsed!$C$2:$C$10,0))*INDEX(Parsed!$I$2:$I$190,(MATCH(A88,Data!$B$2:$B$22,0)-1)*9+MATCH("Animal",Parsed!$C$2:$C$10,0)),0),0)</x:f>
        <x:v>62.5</x:v>
      </x:c>
      <x:c r="D88" s="11" t="n">
        <x:f>IFERROR(IF(INDEX(Parsed!$K$2:$K$190,(MATCH(A88,Data!$B$2:$B$22,0)-1)*9+MATCH("God",Parsed!$C$2:$C$10,0))=INDEX(Parsed!$H$2:$H$190,(MATCH(B88,Data!$B$2:$B$22,0)-1)*9+MATCH("God",Parsed!$C$2:$C$10,0)),INDEX(Parsed!$M$2:$M$190,(MATCH(A88,Data!$B$2:$B$22,0)-1)*9+MATCH("God",Parsed!$C$2:$C$10,0))*INDEX(Parsed!$I$2:$I$190,(MATCH(B88,Data!$B$2:$B$22,0)-1)*9+MATCH("God",Parsed!$C$2:$C$10,0)),0)+IF(INDEX(Parsed!$K$2:$K$190,(MATCH(A88,Data!$B$2:$B$22,0)-1)*9+MATCH("Politics",Parsed!$C$2:$C$10,0))=INDEX(Parsed!$H$2:$H$190,(MATCH(B88,Data!$B$2:$B$22,0)-1)*9+MATCH("Politics",Parsed!$C$2:$C$10,0)),INDEX(Parsed!$M$2:$M$190,(MATCH(A88,Data!$B$2:$B$22,0)-1)*9+MATCH("Politics",Parsed!$C$2:$C$10,0))*INDEX(Parsed!$I$2:$I$190,(MATCH(B88,Data!$B$2:$B$22,0)-1)*9+MATCH("Politics",Parsed!$C$2:$C$10,0)),0)+IF(INDEX(Parsed!$K$2:$K$190,(MATCH(A88,Data!$B$2:$B$22,0)-1)*9+MATCH("Marriage",Parsed!$C$2:$C$10,0))=INDEX(Parsed!$H$2:$H$190,(MATCH(B88,Data!$B$2:$B$22,0)-1)*9+MATCH("Marriage",Parsed!$C$2:$C$10,0)),INDEX(Parsed!$M$2:$M$190,(MATCH(A88,Data!$B$2:$B$22,0)-1)*9+MATCH("Marriage",Parsed!$C$2:$C$10,0))*INDEX(Parsed!$I$2:$I$190,(MATCH(B88,Data!$B$2:$B$22,0)-1)*9+MATCH("Marriage",Parsed!$C$2:$C$10,0)),0)+IF(INDEX(Parsed!$K$2:$K$190,(MATCH(A88,Data!$B$2:$B$22,0)-1)*9+MATCH("Children",Parsed!$C$2:$C$10,0))=INDEX(Parsed!$H$2:$H$190,(MATCH(B88,Data!$B$2:$B$22,0)-1)*9+MATCH("Children",Parsed!$C$2:$C$10,0)),INDEX(Parsed!$M$2:$M$190,(MATCH(A88,Data!$B$2:$B$22,0)-1)*9+MATCH("Children",Parsed!$C$2:$C$10,0))*INDEX(Parsed!$I$2:$I$190,(MATCH(B88,Data!$B$2:$B$22,0)-1)*9+MATCH("Children",Parsed!$C$2:$C$10,0)),0)+IF(INDEX(Parsed!$K$2:$K$190,(MATCH(A88,Data!$B$2:$B$22,0)-1)*9+MATCH("Ethicity",Parsed!$C$2:$C$10,0))=INDEX(Parsed!$H$2:$H$190,(MATCH(B88,Data!$B$2:$B$22,0)-1)*9+MATCH("Ethicity",Parsed!$C$2:$C$10,0)),INDEX(Parsed!$M$2:$M$190,(MATCH(A88,Data!$B$2:$B$22,0)-1)*9+MATCH("Ethicity",Parsed!$C$2:$C$10,0))*INDEX(Parsed!$I$2:$I$190,(MATCH(B88,Data!$B$2:$B$22,0)-1)*9+MATCH("Ethicity",Parsed!$C$2:$C$10,0)),0)+IF(INDEX(Parsed!$K$2:$K$190,(MATCH(A88,Data!$B$2:$B$22,0)-1)*9+MATCH("Past",Parsed!$C$2:$C$10,0))=INDEX(Parsed!$H$2:$H$190,(MATCH(B88,Data!$B$2:$B$22,0)-1)*9+MATCH("Past",Parsed!$C$2:$C$10,0)),INDEX(Parsed!$M$2:$M$190,(MATCH(A88,Data!$B$2:$B$22,0)-1)*9+MATCH("Past",Parsed!$C$2:$C$10,0))*INDEX(Parsed!$I$2:$I$190,(MATCH(B88,Data!$B$2:$B$22,0)-1)*9+MATCH("Past",Parsed!$C$2:$C$10,0)),0)+IF(INDEX(Parsed!$K$2:$K$190,(MATCH(A88,Data!$B$2:$B$22,0)-1)*9+MATCH("D/S",Parsed!$C$2:$C$10,0))=INDEX(Parsed!$H$2:$H$190,(MATCH(B88,Data!$B$2:$B$22,0)-1)*9+MATCH("D/S",Parsed!$C$2:$C$10,0)),INDEX(Parsed!$M$2:$M$190,(MATCH(A88,Data!$B$2:$B$22,0)-1)*9+MATCH("D/S",Parsed!$C$2:$C$10,0))*INDEX(Parsed!$I$2:$I$190,(MATCH(B88,Data!$B$2:$B$22,0)-1)*9+MATCH("D/S",Parsed!$C$2:$C$10,0)),0)+IF(INDEX(Parsed!$K$2:$K$190,(MATCH(A88,Data!$B$2:$B$22,0)-1)*9+MATCH("True/kind",Parsed!$C$2:$C$10,0))=INDEX(Parsed!$H$2:$H$190,(MATCH(B88,Data!$B$2:$B$22,0)-1)*9+MATCH("True/kind",Parsed!$C$2:$C$10,0)),INDEX(Parsed!$M$2:$M$190,(MATCH(A88,Data!$B$2:$B$22,0)-1)*9+MATCH("True/kind",Parsed!$C$2:$C$10,0))*INDEX(Parsed!$I$2:$I$190,(MATCH(B88,Data!$B$2:$B$22,0)-1)*9+MATCH("True/kind",Parsed!$C$2:$C$10,0)),0)+IF(INDEX(Parsed!$K$2:$K$190,(MATCH(A88,Data!$B$2:$B$22,0)-1)*9+MATCH("Animal",Parsed!$C$2:$C$10,0))=INDEX(Parsed!$H$2:$H$190,(MATCH(B88,Data!$B$2:$B$22,0)-1)*9+MATCH("Animal",Parsed!$C$2:$C$10,0)),INDEX(Parsed!$M$2:$M$190,(MATCH(A88,Data!$B$2:$B$22,0)-1)*9+MATCH("Animal",Parsed!$C$2:$C$10,0))*INDEX(Parsed!$I$2:$I$190,(MATCH(B88,Data!$B$2:$B$22,0)-1)*9+MATCH("Animal",Parsed!$C$2:$C$10,0)),0),0)</x:f>
        <x:v>40</x:v>
      </x:c>
      <x:c r="E88" s="11" t="n">
        <x:f>SQRT(C88*D88)</x:f>
        <x:v>50</x:v>
      </x:c>
    </x:row>
    <x:row r="89">
      <x:c r="A89" t="str">
        <x:v>james</x:v>
      </x:c>
      <x:c r="B89" t="str">
        <x:v>sophiah</x:v>
      </x:c>
      <x:c r="C89" s="11" t="n">
        <x:f>IFERROR(IF(INDEX(Parsed!$K$2:$K$190,(MATCH(B89,Data!$B$2:$B$22,0)-1)*9+MATCH("God",Parsed!$C$2:$C$10,0))=INDEX(Parsed!$H$2:$H$190,(MATCH(A89,Data!$B$2:$B$22,0)-1)*9+MATCH("God",Parsed!$C$2:$C$10,0)),INDEX(Parsed!$M$2:$M$190,(MATCH(B89,Data!$B$2:$B$22,0)-1)*9+MATCH("God",Parsed!$C$2:$C$10,0))*INDEX(Parsed!$I$2:$I$190,(MATCH(A89,Data!$B$2:$B$22,0)-1)*9+MATCH("God",Parsed!$C$2:$C$10,0)),0)+IF(INDEX(Parsed!$K$2:$K$190,(MATCH(B89,Data!$B$2:$B$22,0)-1)*9+MATCH("Politics",Parsed!$C$2:$C$10,0))=INDEX(Parsed!$H$2:$H$190,(MATCH(A89,Data!$B$2:$B$22,0)-1)*9+MATCH("Politics",Parsed!$C$2:$C$10,0)),INDEX(Parsed!$M$2:$M$190,(MATCH(B89,Data!$B$2:$B$22,0)-1)*9+MATCH("Politics",Parsed!$C$2:$C$10,0))*INDEX(Parsed!$I$2:$I$190,(MATCH(A89,Data!$B$2:$B$22,0)-1)*9+MATCH("Politics",Parsed!$C$2:$C$10,0)),0)+IF(INDEX(Parsed!$K$2:$K$190,(MATCH(B89,Data!$B$2:$B$22,0)-1)*9+MATCH("Marriage",Parsed!$C$2:$C$10,0))=INDEX(Parsed!$H$2:$H$190,(MATCH(A89,Data!$B$2:$B$22,0)-1)*9+MATCH("Marriage",Parsed!$C$2:$C$10,0)),INDEX(Parsed!$M$2:$M$190,(MATCH(B89,Data!$B$2:$B$22,0)-1)*9+MATCH("Marriage",Parsed!$C$2:$C$10,0))*INDEX(Parsed!$I$2:$I$190,(MATCH(A89,Data!$B$2:$B$22,0)-1)*9+MATCH("Marriage",Parsed!$C$2:$C$10,0)),0)+IF(INDEX(Parsed!$K$2:$K$190,(MATCH(B89,Data!$B$2:$B$22,0)-1)*9+MATCH("Children",Parsed!$C$2:$C$10,0))=INDEX(Parsed!$H$2:$H$190,(MATCH(A89,Data!$B$2:$B$22,0)-1)*9+MATCH("Children",Parsed!$C$2:$C$10,0)),INDEX(Parsed!$M$2:$M$190,(MATCH(B89,Data!$B$2:$B$22,0)-1)*9+MATCH("Children",Parsed!$C$2:$C$10,0))*INDEX(Parsed!$I$2:$I$190,(MATCH(A89,Data!$B$2:$B$22,0)-1)*9+MATCH("Children",Parsed!$C$2:$C$10,0)),0)+IF(INDEX(Parsed!$K$2:$K$190,(MATCH(B89,Data!$B$2:$B$22,0)-1)*9+MATCH("Ethicity",Parsed!$C$2:$C$10,0))=INDEX(Parsed!$H$2:$H$190,(MATCH(A89,Data!$B$2:$B$22,0)-1)*9+MATCH("Ethicity",Parsed!$C$2:$C$10,0)),INDEX(Parsed!$M$2:$M$190,(MATCH(B89,Data!$B$2:$B$22,0)-1)*9+MATCH("Ethicity",Parsed!$C$2:$C$10,0))*INDEX(Parsed!$I$2:$I$190,(MATCH(A89,Data!$B$2:$B$22,0)-1)*9+MATCH("Ethicity",Parsed!$C$2:$C$10,0)),0)+IF(INDEX(Parsed!$K$2:$K$190,(MATCH(B89,Data!$B$2:$B$22,0)-1)*9+MATCH("Past",Parsed!$C$2:$C$10,0))=INDEX(Parsed!$H$2:$H$190,(MATCH(A89,Data!$B$2:$B$22,0)-1)*9+MATCH("Past",Parsed!$C$2:$C$10,0)),INDEX(Parsed!$M$2:$M$190,(MATCH(B89,Data!$B$2:$B$22,0)-1)*9+MATCH("Past",Parsed!$C$2:$C$10,0))*INDEX(Parsed!$I$2:$I$190,(MATCH(A89,Data!$B$2:$B$22,0)-1)*9+MATCH("Past",Parsed!$C$2:$C$10,0)),0)+IF(INDEX(Parsed!$K$2:$K$190,(MATCH(B89,Data!$B$2:$B$22,0)-1)*9+MATCH("D/S",Parsed!$C$2:$C$10,0))=INDEX(Parsed!$H$2:$H$190,(MATCH(A89,Data!$B$2:$B$22,0)-1)*9+MATCH("D/S",Parsed!$C$2:$C$10,0)),INDEX(Parsed!$M$2:$M$190,(MATCH(B89,Data!$B$2:$B$22,0)-1)*9+MATCH("D/S",Parsed!$C$2:$C$10,0))*INDEX(Parsed!$I$2:$I$190,(MATCH(A89,Data!$B$2:$B$22,0)-1)*9+MATCH("D/S",Parsed!$C$2:$C$10,0)),0)+IF(INDEX(Parsed!$K$2:$K$190,(MATCH(B89,Data!$B$2:$B$22,0)-1)*9+MATCH("True/kind",Parsed!$C$2:$C$10,0))=INDEX(Parsed!$H$2:$H$190,(MATCH(A89,Data!$B$2:$B$22,0)-1)*9+MATCH("True/kind",Parsed!$C$2:$C$10,0)),INDEX(Parsed!$M$2:$M$190,(MATCH(B89,Data!$B$2:$B$22,0)-1)*9+MATCH("True/kind",Parsed!$C$2:$C$10,0))*INDEX(Parsed!$I$2:$I$190,(MATCH(A89,Data!$B$2:$B$22,0)-1)*9+MATCH("True/kind",Parsed!$C$2:$C$10,0)),0)+IF(INDEX(Parsed!$K$2:$K$190,(MATCH(B89,Data!$B$2:$B$22,0)-1)*9+MATCH("Animal",Parsed!$C$2:$C$10,0))=INDEX(Parsed!$H$2:$H$190,(MATCH(A89,Data!$B$2:$B$22,0)-1)*9+MATCH("Animal",Parsed!$C$2:$C$10,0)),INDEX(Parsed!$M$2:$M$190,(MATCH(B89,Data!$B$2:$B$22,0)-1)*9+MATCH("Animal",Parsed!$C$2:$C$10,0))*INDEX(Parsed!$I$2:$I$190,(MATCH(A89,Data!$B$2:$B$22,0)-1)*9+MATCH("Animal",Parsed!$C$2:$C$10,0)),0),0)</x:f>
        <x:v>30</x:v>
      </x:c>
      <x:c r="D89" s="11" t="n">
        <x:f>IFERROR(IF(INDEX(Parsed!$K$2:$K$190,(MATCH(A89,Data!$B$2:$B$22,0)-1)*9+MATCH("God",Parsed!$C$2:$C$10,0))=INDEX(Parsed!$H$2:$H$190,(MATCH(B89,Data!$B$2:$B$22,0)-1)*9+MATCH("God",Parsed!$C$2:$C$10,0)),INDEX(Parsed!$M$2:$M$190,(MATCH(A89,Data!$B$2:$B$22,0)-1)*9+MATCH("God",Parsed!$C$2:$C$10,0))*INDEX(Parsed!$I$2:$I$190,(MATCH(B89,Data!$B$2:$B$22,0)-1)*9+MATCH("God",Parsed!$C$2:$C$10,0)),0)+IF(INDEX(Parsed!$K$2:$K$190,(MATCH(A89,Data!$B$2:$B$22,0)-1)*9+MATCH("Politics",Parsed!$C$2:$C$10,0))=INDEX(Parsed!$H$2:$H$190,(MATCH(B89,Data!$B$2:$B$22,0)-1)*9+MATCH("Politics",Parsed!$C$2:$C$10,0)),INDEX(Parsed!$M$2:$M$190,(MATCH(A89,Data!$B$2:$B$22,0)-1)*9+MATCH("Politics",Parsed!$C$2:$C$10,0))*INDEX(Parsed!$I$2:$I$190,(MATCH(B89,Data!$B$2:$B$22,0)-1)*9+MATCH("Politics",Parsed!$C$2:$C$10,0)),0)+IF(INDEX(Parsed!$K$2:$K$190,(MATCH(A89,Data!$B$2:$B$22,0)-1)*9+MATCH("Marriage",Parsed!$C$2:$C$10,0))=INDEX(Parsed!$H$2:$H$190,(MATCH(B89,Data!$B$2:$B$22,0)-1)*9+MATCH("Marriage",Parsed!$C$2:$C$10,0)),INDEX(Parsed!$M$2:$M$190,(MATCH(A89,Data!$B$2:$B$22,0)-1)*9+MATCH("Marriage",Parsed!$C$2:$C$10,0))*INDEX(Parsed!$I$2:$I$190,(MATCH(B89,Data!$B$2:$B$22,0)-1)*9+MATCH("Marriage",Parsed!$C$2:$C$10,0)),0)+IF(INDEX(Parsed!$K$2:$K$190,(MATCH(A89,Data!$B$2:$B$22,0)-1)*9+MATCH("Children",Parsed!$C$2:$C$10,0))=INDEX(Parsed!$H$2:$H$190,(MATCH(B89,Data!$B$2:$B$22,0)-1)*9+MATCH("Children",Parsed!$C$2:$C$10,0)),INDEX(Parsed!$M$2:$M$190,(MATCH(A89,Data!$B$2:$B$22,0)-1)*9+MATCH("Children",Parsed!$C$2:$C$10,0))*INDEX(Parsed!$I$2:$I$190,(MATCH(B89,Data!$B$2:$B$22,0)-1)*9+MATCH("Children",Parsed!$C$2:$C$10,0)),0)+IF(INDEX(Parsed!$K$2:$K$190,(MATCH(A89,Data!$B$2:$B$22,0)-1)*9+MATCH("Ethicity",Parsed!$C$2:$C$10,0))=INDEX(Parsed!$H$2:$H$190,(MATCH(B89,Data!$B$2:$B$22,0)-1)*9+MATCH("Ethicity",Parsed!$C$2:$C$10,0)),INDEX(Parsed!$M$2:$M$190,(MATCH(A89,Data!$B$2:$B$22,0)-1)*9+MATCH("Ethicity",Parsed!$C$2:$C$10,0))*INDEX(Parsed!$I$2:$I$190,(MATCH(B89,Data!$B$2:$B$22,0)-1)*9+MATCH("Ethicity",Parsed!$C$2:$C$10,0)),0)+IF(INDEX(Parsed!$K$2:$K$190,(MATCH(A89,Data!$B$2:$B$22,0)-1)*9+MATCH("Past",Parsed!$C$2:$C$10,0))=INDEX(Parsed!$H$2:$H$190,(MATCH(B89,Data!$B$2:$B$22,0)-1)*9+MATCH("Past",Parsed!$C$2:$C$10,0)),INDEX(Parsed!$M$2:$M$190,(MATCH(A89,Data!$B$2:$B$22,0)-1)*9+MATCH("Past",Parsed!$C$2:$C$10,0))*INDEX(Parsed!$I$2:$I$190,(MATCH(B89,Data!$B$2:$B$22,0)-1)*9+MATCH("Past",Parsed!$C$2:$C$10,0)),0)+IF(INDEX(Parsed!$K$2:$K$190,(MATCH(A89,Data!$B$2:$B$22,0)-1)*9+MATCH("D/S",Parsed!$C$2:$C$10,0))=INDEX(Parsed!$H$2:$H$190,(MATCH(B89,Data!$B$2:$B$22,0)-1)*9+MATCH("D/S",Parsed!$C$2:$C$10,0)),INDEX(Parsed!$M$2:$M$190,(MATCH(A89,Data!$B$2:$B$22,0)-1)*9+MATCH("D/S",Parsed!$C$2:$C$10,0))*INDEX(Parsed!$I$2:$I$190,(MATCH(B89,Data!$B$2:$B$22,0)-1)*9+MATCH("D/S",Parsed!$C$2:$C$10,0)),0)+IF(INDEX(Parsed!$K$2:$K$190,(MATCH(A89,Data!$B$2:$B$22,0)-1)*9+MATCH("True/kind",Parsed!$C$2:$C$10,0))=INDEX(Parsed!$H$2:$H$190,(MATCH(B89,Data!$B$2:$B$22,0)-1)*9+MATCH("True/kind",Parsed!$C$2:$C$10,0)),INDEX(Parsed!$M$2:$M$190,(MATCH(A89,Data!$B$2:$B$22,0)-1)*9+MATCH("True/kind",Parsed!$C$2:$C$10,0))*INDEX(Parsed!$I$2:$I$190,(MATCH(B89,Data!$B$2:$B$22,0)-1)*9+MATCH("True/kind",Parsed!$C$2:$C$10,0)),0)+IF(INDEX(Parsed!$K$2:$K$190,(MATCH(A89,Data!$B$2:$B$22,0)-1)*9+MATCH("Animal",Parsed!$C$2:$C$10,0))=INDEX(Parsed!$H$2:$H$190,(MATCH(B89,Data!$B$2:$B$22,0)-1)*9+MATCH("Animal",Parsed!$C$2:$C$10,0)),INDEX(Parsed!$M$2:$M$190,(MATCH(A89,Data!$B$2:$B$22,0)-1)*9+MATCH("Animal",Parsed!$C$2:$C$10,0))*INDEX(Parsed!$I$2:$I$190,(MATCH(B89,Data!$B$2:$B$22,0)-1)*9+MATCH("Animal",Parsed!$C$2:$C$10,0)),0),0)</x:f>
        <x:v>25</x:v>
      </x:c>
      <x:c r="E89" s="11" t="n">
        <x:f>SQRT(C89*D89)</x:f>
        <x:v>27.386127875258307</x:v>
      </x:c>
    </x:row>
    <x:row r="90">
      <x:c r="A90" t="str">
        <x:v>james</x:v>
      </x:c>
      <x:c r="B90" t="str">
        <x:v>angela</x:v>
      </x:c>
      <x:c r="C90" s="11" t="n">
        <x:f>IFERROR(IF(INDEX(Parsed!$K$2:$K$190,(MATCH(B90,Data!$B$2:$B$22,0)-1)*9+MATCH("God",Parsed!$C$2:$C$10,0))=INDEX(Parsed!$H$2:$H$190,(MATCH(A90,Data!$B$2:$B$22,0)-1)*9+MATCH("God",Parsed!$C$2:$C$10,0)),INDEX(Parsed!$M$2:$M$190,(MATCH(B90,Data!$B$2:$B$22,0)-1)*9+MATCH("God",Parsed!$C$2:$C$10,0))*INDEX(Parsed!$I$2:$I$190,(MATCH(A90,Data!$B$2:$B$22,0)-1)*9+MATCH("God",Parsed!$C$2:$C$10,0)),0)+IF(INDEX(Parsed!$K$2:$K$190,(MATCH(B90,Data!$B$2:$B$22,0)-1)*9+MATCH("Politics",Parsed!$C$2:$C$10,0))=INDEX(Parsed!$H$2:$H$190,(MATCH(A90,Data!$B$2:$B$22,0)-1)*9+MATCH("Politics",Parsed!$C$2:$C$10,0)),INDEX(Parsed!$M$2:$M$190,(MATCH(B90,Data!$B$2:$B$22,0)-1)*9+MATCH("Politics",Parsed!$C$2:$C$10,0))*INDEX(Parsed!$I$2:$I$190,(MATCH(A90,Data!$B$2:$B$22,0)-1)*9+MATCH("Politics",Parsed!$C$2:$C$10,0)),0)+IF(INDEX(Parsed!$K$2:$K$190,(MATCH(B90,Data!$B$2:$B$22,0)-1)*9+MATCH("Marriage",Parsed!$C$2:$C$10,0))=INDEX(Parsed!$H$2:$H$190,(MATCH(A90,Data!$B$2:$B$22,0)-1)*9+MATCH("Marriage",Parsed!$C$2:$C$10,0)),INDEX(Parsed!$M$2:$M$190,(MATCH(B90,Data!$B$2:$B$22,0)-1)*9+MATCH("Marriage",Parsed!$C$2:$C$10,0))*INDEX(Parsed!$I$2:$I$190,(MATCH(A90,Data!$B$2:$B$22,0)-1)*9+MATCH("Marriage",Parsed!$C$2:$C$10,0)),0)+IF(INDEX(Parsed!$K$2:$K$190,(MATCH(B90,Data!$B$2:$B$22,0)-1)*9+MATCH("Children",Parsed!$C$2:$C$10,0))=INDEX(Parsed!$H$2:$H$190,(MATCH(A90,Data!$B$2:$B$22,0)-1)*9+MATCH("Children",Parsed!$C$2:$C$10,0)),INDEX(Parsed!$M$2:$M$190,(MATCH(B90,Data!$B$2:$B$22,0)-1)*9+MATCH("Children",Parsed!$C$2:$C$10,0))*INDEX(Parsed!$I$2:$I$190,(MATCH(A90,Data!$B$2:$B$22,0)-1)*9+MATCH("Children",Parsed!$C$2:$C$10,0)),0)+IF(INDEX(Parsed!$K$2:$K$190,(MATCH(B90,Data!$B$2:$B$22,0)-1)*9+MATCH("Ethicity",Parsed!$C$2:$C$10,0))=INDEX(Parsed!$H$2:$H$190,(MATCH(A90,Data!$B$2:$B$22,0)-1)*9+MATCH("Ethicity",Parsed!$C$2:$C$10,0)),INDEX(Parsed!$M$2:$M$190,(MATCH(B90,Data!$B$2:$B$22,0)-1)*9+MATCH("Ethicity",Parsed!$C$2:$C$10,0))*INDEX(Parsed!$I$2:$I$190,(MATCH(A90,Data!$B$2:$B$22,0)-1)*9+MATCH("Ethicity",Parsed!$C$2:$C$10,0)),0)+IF(INDEX(Parsed!$K$2:$K$190,(MATCH(B90,Data!$B$2:$B$22,0)-1)*9+MATCH("Past",Parsed!$C$2:$C$10,0))=INDEX(Parsed!$H$2:$H$190,(MATCH(A90,Data!$B$2:$B$22,0)-1)*9+MATCH("Past",Parsed!$C$2:$C$10,0)),INDEX(Parsed!$M$2:$M$190,(MATCH(B90,Data!$B$2:$B$22,0)-1)*9+MATCH("Past",Parsed!$C$2:$C$10,0))*INDEX(Parsed!$I$2:$I$190,(MATCH(A90,Data!$B$2:$B$22,0)-1)*9+MATCH("Past",Parsed!$C$2:$C$10,0)),0)+IF(INDEX(Parsed!$K$2:$K$190,(MATCH(B90,Data!$B$2:$B$22,0)-1)*9+MATCH("D/S",Parsed!$C$2:$C$10,0))=INDEX(Parsed!$H$2:$H$190,(MATCH(A90,Data!$B$2:$B$22,0)-1)*9+MATCH("D/S",Parsed!$C$2:$C$10,0)),INDEX(Parsed!$M$2:$M$190,(MATCH(B90,Data!$B$2:$B$22,0)-1)*9+MATCH("D/S",Parsed!$C$2:$C$10,0))*INDEX(Parsed!$I$2:$I$190,(MATCH(A90,Data!$B$2:$B$22,0)-1)*9+MATCH("D/S",Parsed!$C$2:$C$10,0)),0)+IF(INDEX(Parsed!$K$2:$K$190,(MATCH(B90,Data!$B$2:$B$22,0)-1)*9+MATCH("True/kind",Parsed!$C$2:$C$10,0))=INDEX(Parsed!$H$2:$H$190,(MATCH(A90,Data!$B$2:$B$22,0)-1)*9+MATCH("True/kind",Parsed!$C$2:$C$10,0)),INDEX(Parsed!$M$2:$M$190,(MATCH(B90,Data!$B$2:$B$22,0)-1)*9+MATCH("True/kind",Parsed!$C$2:$C$10,0))*INDEX(Parsed!$I$2:$I$190,(MATCH(A90,Data!$B$2:$B$22,0)-1)*9+MATCH("True/kind",Parsed!$C$2:$C$10,0)),0)+IF(INDEX(Parsed!$K$2:$K$190,(MATCH(B90,Data!$B$2:$B$22,0)-1)*9+MATCH("Animal",Parsed!$C$2:$C$10,0))=INDEX(Parsed!$H$2:$H$190,(MATCH(A90,Data!$B$2:$B$22,0)-1)*9+MATCH("Animal",Parsed!$C$2:$C$10,0)),INDEX(Parsed!$M$2:$M$190,(MATCH(B90,Data!$B$2:$B$22,0)-1)*9+MATCH("Animal",Parsed!$C$2:$C$10,0))*INDEX(Parsed!$I$2:$I$190,(MATCH(A90,Data!$B$2:$B$22,0)-1)*9+MATCH("Animal",Parsed!$C$2:$C$10,0)),0),0)</x:f>
        <x:v>60</x:v>
      </x:c>
      <x:c r="D90" s="11" t="n">
        <x:f>IFERROR(IF(INDEX(Parsed!$K$2:$K$190,(MATCH(A90,Data!$B$2:$B$22,0)-1)*9+MATCH("God",Parsed!$C$2:$C$10,0))=INDEX(Parsed!$H$2:$H$190,(MATCH(B90,Data!$B$2:$B$22,0)-1)*9+MATCH("God",Parsed!$C$2:$C$10,0)),INDEX(Parsed!$M$2:$M$190,(MATCH(A90,Data!$B$2:$B$22,0)-1)*9+MATCH("God",Parsed!$C$2:$C$10,0))*INDEX(Parsed!$I$2:$I$190,(MATCH(B90,Data!$B$2:$B$22,0)-1)*9+MATCH("God",Parsed!$C$2:$C$10,0)),0)+IF(INDEX(Parsed!$K$2:$K$190,(MATCH(A90,Data!$B$2:$B$22,0)-1)*9+MATCH("Politics",Parsed!$C$2:$C$10,0))=INDEX(Parsed!$H$2:$H$190,(MATCH(B90,Data!$B$2:$B$22,0)-1)*9+MATCH("Politics",Parsed!$C$2:$C$10,0)),INDEX(Parsed!$M$2:$M$190,(MATCH(A90,Data!$B$2:$B$22,0)-1)*9+MATCH("Politics",Parsed!$C$2:$C$10,0))*INDEX(Parsed!$I$2:$I$190,(MATCH(B90,Data!$B$2:$B$22,0)-1)*9+MATCH("Politics",Parsed!$C$2:$C$10,0)),0)+IF(INDEX(Parsed!$K$2:$K$190,(MATCH(A90,Data!$B$2:$B$22,0)-1)*9+MATCH("Marriage",Parsed!$C$2:$C$10,0))=INDEX(Parsed!$H$2:$H$190,(MATCH(B90,Data!$B$2:$B$22,0)-1)*9+MATCH("Marriage",Parsed!$C$2:$C$10,0)),INDEX(Parsed!$M$2:$M$190,(MATCH(A90,Data!$B$2:$B$22,0)-1)*9+MATCH("Marriage",Parsed!$C$2:$C$10,0))*INDEX(Parsed!$I$2:$I$190,(MATCH(B90,Data!$B$2:$B$22,0)-1)*9+MATCH("Marriage",Parsed!$C$2:$C$10,0)),0)+IF(INDEX(Parsed!$K$2:$K$190,(MATCH(A90,Data!$B$2:$B$22,0)-1)*9+MATCH("Children",Parsed!$C$2:$C$10,0))=INDEX(Parsed!$H$2:$H$190,(MATCH(B90,Data!$B$2:$B$22,0)-1)*9+MATCH("Children",Parsed!$C$2:$C$10,0)),INDEX(Parsed!$M$2:$M$190,(MATCH(A90,Data!$B$2:$B$22,0)-1)*9+MATCH("Children",Parsed!$C$2:$C$10,0))*INDEX(Parsed!$I$2:$I$190,(MATCH(B90,Data!$B$2:$B$22,0)-1)*9+MATCH("Children",Parsed!$C$2:$C$10,0)),0)+IF(INDEX(Parsed!$K$2:$K$190,(MATCH(A90,Data!$B$2:$B$22,0)-1)*9+MATCH("Ethicity",Parsed!$C$2:$C$10,0))=INDEX(Parsed!$H$2:$H$190,(MATCH(B90,Data!$B$2:$B$22,0)-1)*9+MATCH("Ethicity",Parsed!$C$2:$C$10,0)),INDEX(Parsed!$M$2:$M$190,(MATCH(A90,Data!$B$2:$B$22,0)-1)*9+MATCH("Ethicity",Parsed!$C$2:$C$10,0))*INDEX(Parsed!$I$2:$I$190,(MATCH(B90,Data!$B$2:$B$22,0)-1)*9+MATCH("Ethicity",Parsed!$C$2:$C$10,0)),0)+IF(INDEX(Parsed!$K$2:$K$190,(MATCH(A90,Data!$B$2:$B$22,0)-1)*9+MATCH("Past",Parsed!$C$2:$C$10,0))=INDEX(Parsed!$H$2:$H$190,(MATCH(B90,Data!$B$2:$B$22,0)-1)*9+MATCH("Past",Parsed!$C$2:$C$10,0)),INDEX(Parsed!$M$2:$M$190,(MATCH(A90,Data!$B$2:$B$22,0)-1)*9+MATCH("Past",Parsed!$C$2:$C$10,0))*INDEX(Parsed!$I$2:$I$190,(MATCH(B90,Data!$B$2:$B$22,0)-1)*9+MATCH("Past",Parsed!$C$2:$C$10,0)),0)+IF(INDEX(Parsed!$K$2:$K$190,(MATCH(A90,Data!$B$2:$B$22,0)-1)*9+MATCH("D/S",Parsed!$C$2:$C$10,0))=INDEX(Parsed!$H$2:$H$190,(MATCH(B90,Data!$B$2:$B$22,0)-1)*9+MATCH("D/S",Parsed!$C$2:$C$10,0)),INDEX(Parsed!$M$2:$M$190,(MATCH(A90,Data!$B$2:$B$22,0)-1)*9+MATCH("D/S",Parsed!$C$2:$C$10,0))*INDEX(Parsed!$I$2:$I$190,(MATCH(B90,Data!$B$2:$B$22,0)-1)*9+MATCH("D/S",Parsed!$C$2:$C$10,0)),0)+IF(INDEX(Parsed!$K$2:$K$190,(MATCH(A90,Data!$B$2:$B$22,0)-1)*9+MATCH("True/kind",Parsed!$C$2:$C$10,0))=INDEX(Parsed!$H$2:$H$190,(MATCH(B90,Data!$B$2:$B$22,0)-1)*9+MATCH("True/kind",Parsed!$C$2:$C$10,0)),INDEX(Parsed!$M$2:$M$190,(MATCH(A90,Data!$B$2:$B$22,0)-1)*9+MATCH("True/kind",Parsed!$C$2:$C$10,0))*INDEX(Parsed!$I$2:$I$190,(MATCH(B90,Data!$B$2:$B$22,0)-1)*9+MATCH("True/kind",Parsed!$C$2:$C$10,0)),0)+IF(INDEX(Parsed!$K$2:$K$190,(MATCH(A90,Data!$B$2:$B$22,0)-1)*9+MATCH("Animal",Parsed!$C$2:$C$10,0))=INDEX(Parsed!$H$2:$H$190,(MATCH(B90,Data!$B$2:$B$22,0)-1)*9+MATCH("Animal",Parsed!$C$2:$C$10,0)),INDEX(Parsed!$M$2:$M$190,(MATCH(A90,Data!$B$2:$B$22,0)-1)*9+MATCH("Animal",Parsed!$C$2:$C$10,0))*INDEX(Parsed!$I$2:$I$190,(MATCH(B90,Data!$B$2:$B$22,0)-1)*9+MATCH("Animal",Parsed!$C$2:$C$10,0)),0),0)</x:f>
        <x:v>25</x:v>
      </x:c>
      <x:c r="E90" s="11" t="n">
        <x:f>SQRT(C90*D90)</x:f>
        <x:v>38.72983346207417</x:v>
      </x:c>
    </x:row>
    <x:row r="91">
      <x:c r="A91" t="str">
        <x:v>james</x:v>
      </x:c>
      <x:c r="B91" t="str">
        <x:v>issabel</x:v>
      </x:c>
      <x:c r="C91" s="11" t="n">
        <x:f>IFERROR(IF(INDEX(Parsed!$K$2:$K$190,(MATCH(B91,Data!$B$2:$B$22,0)-1)*9+MATCH("God",Parsed!$C$2:$C$10,0))=INDEX(Parsed!$H$2:$H$190,(MATCH(A91,Data!$B$2:$B$22,0)-1)*9+MATCH("God",Parsed!$C$2:$C$10,0)),INDEX(Parsed!$M$2:$M$190,(MATCH(B91,Data!$B$2:$B$22,0)-1)*9+MATCH("God",Parsed!$C$2:$C$10,0))*INDEX(Parsed!$I$2:$I$190,(MATCH(A91,Data!$B$2:$B$22,0)-1)*9+MATCH("God",Parsed!$C$2:$C$10,0)),0)+IF(INDEX(Parsed!$K$2:$K$190,(MATCH(B91,Data!$B$2:$B$22,0)-1)*9+MATCH("Politics",Parsed!$C$2:$C$10,0))=INDEX(Parsed!$H$2:$H$190,(MATCH(A91,Data!$B$2:$B$22,0)-1)*9+MATCH("Politics",Parsed!$C$2:$C$10,0)),INDEX(Parsed!$M$2:$M$190,(MATCH(B91,Data!$B$2:$B$22,0)-1)*9+MATCH("Politics",Parsed!$C$2:$C$10,0))*INDEX(Parsed!$I$2:$I$190,(MATCH(A91,Data!$B$2:$B$22,0)-1)*9+MATCH("Politics",Parsed!$C$2:$C$10,0)),0)+IF(INDEX(Parsed!$K$2:$K$190,(MATCH(B91,Data!$B$2:$B$22,0)-1)*9+MATCH("Marriage",Parsed!$C$2:$C$10,0))=INDEX(Parsed!$H$2:$H$190,(MATCH(A91,Data!$B$2:$B$22,0)-1)*9+MATCH("Marriage",Parsed!$C$2:$C$10,0)),INDEX(Parsed!$M$2:$M$190,(MATCH(B91,Data!$B$2:$B$22,0)-1)*9+MATCH("Marriage",Parsed!$C$2:$C$10,0))*INDEX(Parsed!$I$2:$I$190,(MATCH(A91,Data!$B$2:$B$22,0)-1)*9+MATCH("Marriage",Parsed!$C$2:$C$10,0)),0)+IF(INDEX(Parsed!$K$2:$K$190,(MATCH(B91,Data!$B$2:$B$22,0)-1)*9+MATCH("Children",Parsed!$C$2:$C$10,0))=INDEX(Parsed!$H$2:$H$190,(MATCH(A91,Data!$B$2:$B$22,0)-1)*9+MATCH("Children",Parsed!$C$2:$C$10,0)),INDEX(Parsed!$M$2:$M$190,(MATCH(B91,Data!$B$2:$B$22,0)-1)*9+MATCH("Children",Parsed!$C$2:$C$10,0))*INDEX(Parsed!$I$2:$I$190,(MATCH(A91,Data!$B$2:$B$22,0)-1)*9+MATCH("Children",Parsed!$C$2:$C$10,0)),0)+IF(INDEX(Parsed!$K$2:$K$190,(MATCH(B91,Data!$B$2:$B$22,0)-1)*9+MATCH("Ethicity",Parsed!$C$2:$C$10,0))=INDEX(Parsed!$H$2:$H$190,(MATCH(A91,Data!$B$2:$B$22,0)-1)*9+MATCH("Ethicity",Parsed!$C$2:$C$10,0)),INDEX(Parsed!$M$2:$M$190,(MATCH(B91,Data!$B$2:$B$22,0)-1)*9+MATCH("Ethicity",Parsed!$C$2:$C$10,0))*INDEX(Parsed!$I$2:$I$190,(MATCH(A91,Data!$B$2:$B$22,0)-1)*9+MATCH("Ethicity",Parsed!$C$2:$C$10,0)),0)+IF(INDEX(Parsed!$K$2:$K$190,(MATCH(B91,Data!$B$2:$B$22,0)-1)*9+MATCH("Past",Parsed!$C$2:$C$10,0))=INDEX(Parsed!$H$2:$H$190,(MATCH(A91,Data!$B$2:$B$22,0)-1)*9+MATCH("Past",Parsed!$C$2:$C$10,0)),INDEX(Parsed!$M$2:$M$190,(MATCH(B91,Data!$B$2:$B$22,0)-1)*9+MATCH("Past",Parsed!$C$2:$C$10,0))*INDEX(Parsed!$I$2:$I$190,(MATCH(A91,Data!$B$2:$B$22,0)-1)*9+MATCH("Past",Parsed!$C$2:$C$10,0)),0)+IF(INDEX(Parsed!$K$2:$K$190,(MATCH(B91,Data!$B$2:$B$22,0)-1)*9+MATCH("D/S",Parsed!$C$2:$C$10,0))=INDEX(Parsed!$H$2:$H$190,(MATCH(A91,Data!$B$2:$B$22,0)-1)*9+MATCH("D/S",Parsed!$C$2:$C$10,0)),INDEX(Parsed!$M$2:$M$190,(MATCH(B91,Data!$B$2:$B$22,0)-1)*9+MATCH("D/S",Parsed!$C$2:$C$10,0))*INDEX(Parsed!$I$2:$I$190,(MATCH(A91,Data!$B$2:$B$22,0)-1)*9+MATCH("D/S",Parsed!$C$2:$C$10,0)),0)+IF(INDEX(Parsed!$K$2:$K$190,(MATCH(B91,Data!$B$2:$B$22,0)-1)*9+MATCH("True/kind",Parsed!$C$2:$C$10,0))=INDEX(Parsed!$H$2:$H$190,(MATCH(A91,Data!$B$2:$B$22,0)-1)*9+MATCH("True/kind",Parsed!$C$2:$C$10,0)),INDEX(Parsed!$M$2:$M$190,(MATCH(B91,Data!$B$2:$B$22,0)-1)*9+MATCH("True/kind",Parsed!$C$2:$C$10,0))*INDEX(Parsed!$I$2:$I$190,(MATCH(A91,Data!$B$2:$B$22,0)-1)*9+MATCH("True/kind",Parsed!$C$2:$C$10,0)),0)+IF(INDEX(Parsed!$K$2:$K$190,(MATCH(B91,Data!$B$2:$B$22,0)-1)*9+MATCH("Animal",Parsed!$C$2:$C$10,0))=INDEX(Parsed!$H$2:$H$190,(MATCH(A91,Data!$B$2:$B$22,0)-1)*9+MATCH("Animal",Parsed!$C$2:$C$10,0)),INDEX(Parsed!$M$2:$M$190,(MATCH(B91,Data!$B$2:$B$22,0)-1)*9+MATCH("Animal",Parsed!$C$2:$C$10,0))*INDEX(Parsed!$I$2:$I$190,(MATCH(A91,Data!$B$2:$B$22,0)-1)*9+MATCH("Animal",Parsed!$C$2:$C$10,0)),0),0)</x:f>
        <x:v>88.75</x:v>
      </x:c>
      <x:c r="D91" s="11" t="n">
        <x:f>IFERROR(IF(INDEX(Parsed!$K$2:$K$190,(MATCH(A91,Data!$B$2:$B$22,0)-1)*9+MATCH("God",Parsed!$C$2:$C$10,0))=INDEX(Parsed!$H$2:$H$190,(MATCH(B91,Data!$B$2:$B$22,0)-1)*9+MATCH("God",Parsed!$C$2:$C$10,0)),INDEX(Parsed!$M$2:$M$190,(MATCH(A91,Data!$B$2:$B$22,0)-1)*9+MATCH("God",Parsed!$C$2:$C$10,0))*INDEX(Parsed!$I$2:$I$190,(MATCH(B91,Data!$B$2:$B$22,0)-1)*9+MATCH("God",Parsed!$C$2:$C$10,0)),0)+IF(INDEX(Parsed!$K$2:$K$190,(MATCH(A91,Data!$B$2:$B$22,0)-1)*9+MATCH("Politics",Parsed!$C$2:$C$10,0))=INDEX(Parsed!$H$2:$H$190,(MATCH(B91,Data!$B$2:$B$22,0)-1)*9+MATCH("Politics",Parsed!$C$2:$C$10,0)),INDEX(Parsed!$M$2:$M$190,(MATCH(A91,Data!$B$2:$B$22,0)-1)*9+MATCH("Politics",Parsed!$C$2:$C$10,0))*INDEX(Parsed!$I$2:$I$190,(MATCH(B91,Data!$B$2:$B$22,0)-1)*9+MATCH("Politics",Parsed!$C$2:$C$10,0)),0)+IF(INDEX(Parsed!$K$2:$K$190,(MATCH(A91,Data!$B$2:$B$22,0)-1)*9+MATCH("Marriage",Parsed!$C$2:$C$10,0))=INDEX(Parsed!$H$2:$H$190,(MATCH(B91,Data!$B$2:$B$22,0)-1)*9+MATCH("Marriage",Parsed!$C$2:$C$10,0)),INDEX(Parsed!$M$2:$M$190,(MATCH(A91,Data!$B$2:$B$22,0)-1)*9+MATCH("Marriage",Parsed!$C$2:$C$10,0))*INDEX(Parsed!$I$2:$I$190,(MATCH(B91,Data!$B$2:$B$22,0)-1)*9+MATCH("Marriage",Parsed!$C$2:$C$10,0)),0)+IF(INDEX(Parsed!$K$2:$K$190,(MATCH(A91,Data!$B$2:$B$22,0)-1)*9+MATCH("Children",Parsed!$C$2:$C$10,0))=INDEX(Parsed!$H$2:$H$190,(MATCH(B91,Data!$B$2:$B$22,0)-1)*9+MATCH("Children",Parsed!$C$2:$C$10,0)),INDEX(Parsed!$M$2:$M$190,(MATCH(A91,Data!$B$2:$B$22,0)-1)*9+MATCH("Children",Parsed!$C$2:$C$10,0))*INDEX(Parsed!$I$2:$I$190,(MATCH(B91,Data!$B$2:$B$22,0)-1)*9+MATCH("Children",Parsed!$C$2:$C$10,0)),0)+IF(INDEX(Parsed!$K$2:$K$190,(MATCH(A91,Data!$B$2:$B$22,0)-1)*9+MATCH("Ethicity",Parsed!$C$2:$C$10,0))=INDEX(Parsed!$H$2:$H$190,(MATCH(B91,Data!$B$2:$B$22,0)-1)*9+MATCH("Ethicity",Parsed!$C$2:$C$10,0)),INDEX(Parsed!$M$2:$M$190,(MATCH(A91,Data!$B$2:$B$22,0)-1)*9+MATCH("Ethicity",Parsed!$C$2:$C$10,0))*INDEX(Parsed!$I$2:$I$190,(MATCH(B91,Data!$B$2:$B$22,0)-1)*9+MATCH("Ethicity",Parsed!$C$2:$C$10,0)),0)+IF(INDEX(Parsed!$K$2:$K$190,(MATCH(A91,Data!$B$2:$B$22,0)-1)*9+MATCH("Past",Parsed!$C$2:$C$10,0))=INDEX(Parsed!$H$2:$H$190,(MATCH(B91,Data!$B$2:$B$22,0)-1)*9+MATCH("Past",Parsed!$C$2:$C$10,0)),INDEX(Parsed!$M$2:$M$190,(MATCH(A91,Data!$B$2:$B$22,0)-1)*9+MATCH("Past",Parsed!$C$2:$C$10,0))*INDEX(Parsed!$I$2:$I$190,(MATCH(B91,Data!$B$2:$B$22,0)-1)*9+MATCH("Past",Parsed!$C$2:$C$10,0)),0)+IF(INDEX(Parsed!$K$2:$K$190,(MATCH(A91,Data!$B$2:$B$22,0)-1)*9+MATCH("D/S",Parsed!$C$2:$C$10,0))=INDEX(Parsed!$H$2:$H$190,(MATCH(B91,Data!$B$2:$B$22,0)-1)*9+MATCH("D/S",Parsed!$C$2:$C$10,0)),INDEX(Parsed!$M$2:$M$190,(MATCH(A91,Data!$B$2:$B$22,0)-1)*9+MATCH("D/S",Parsed!$C$2:$C$10,0))*INDEX(Parsed!$I$2:$I$190,(MATCH(B91,Data!$B$2:$B$22,0)-1)*9+MATCH("D/S",Parsed!$C$2:$C$10,0)),0)+IF(INDEX(Parsed!$K$2:$K$190,(MATCH(A91,Data!$B$2:$B$22,0)-1)*9+MATCH("True/kind",Parsed!$C$2:$C$10,0))=INDEX(Parsed!$H$2:$H$190,(MATCH(B91,Data!$B$2:$B$22,0)-1)*9+MATCH("True/kind",Parsed!$C$2:$C$10,0)),INDEX(Parsed!$M$2:$M$190,(MATCH(A91,Data!$B$2:$B$22,0)-1)*9+MATCH("True/kind",Parsed!$C$2:$C$10,0))*INDEX(Parsed!$I$2:$I$190,(MATCH(B91,Data!$B$2:$B$22,0)-1)*9+MATCH("True/kind",Parsed!$C$2:$C$10,0)),0)+IF(INDEX(Parsed!$K$2:$K$190,(MATCH(A91,Data!$B$2:$B$22,0)-1)*9+MATCH("Animal",Parsed!$C$2:$C$10,0))=INDEX(Parsed!$H$2:$H$190,(MATCH(B91,Data!$B$2:$B$22,0)-1)*9+MATCH("Animal",Parsed!$C$2:$C$10,0)),INDEX(Parsed!$M$2:$M$190,(MATCH(A91,Data!$B$2:$B$22,0)-1)*9+MATCH("Animal",Parsed!$C$2:$C$10,0))*INDEX(Parsed!$I$2:$I$190,(MATCH(B91,Data!$B$2:$B$22,0)-1)*9+MATCH("Animal",Parsed!$C$2:$C$10,0)),0),0)</x:f>
        <x:v>65</x:v>
      </x:c>
      <x:c r="E91" s="11" t="n">
        <x:f>SQRT(C91*D91)</x:f>
        <x:v>75.95228765481656</x:v>
      </x:c>
    </x:row>
    <x:row r="92">
      <x:c r="A92" t="str">
        <x:v>james</x:v>
      </x:c>
      <x:c r="B92" t="str">
        <x:v>lydia</x:v>
      </x:c>
      <x:c r="C92" s="11" t="n">
        <x:f>IFERROR(IF(INDEX(Parsed!$K$2:$K$190,(MATCH(B92,Data!$B$2:$B$22,0)-1)*9+MATCH("God",Parsed!$C$2:$C$10,0))=INDEX(Parsed!$H$2:$H$190,(MATCH(A92,Data!$B$2:$B$22,0)-1)*9+MATCH("God",Parsed!$C$2:$C$10,0)),INDEX(Parsed!$M$2:$M$190,(MATCH(B92,Data!$B$2:$B$22,0)-1)*9+MATCH("God",Parsed!$C$2:$C$10,0))*INDEX(Parsed!$I$2:$I$190,(MATCH(A92,Data!$B$2:$B$22,0)-1)*9+MATCH("God",Parsed!$C$2:$C$10,0)),0)+IF(INDEX(Parsed!$K$2:$K$190,(MATCH(B92,Data!$B$2:$B$22,0)-1)*9+MATCH("Politics",Parsed!$C$2:$C$10,0))=INDEX(Parsed!$H$2:$H$190,(MATCH(A92,Data!$B$2:$B$22,0)-1)*9+MATCH("Politics",Parsed!$C$2:$C$10,0)),INDEX(Parsed!$M$2:$M$190,(MATCH(B92,Data!$B$2:$B$22,0)-1)*9+MATCH("Politics",Parsed!$C$2:$C$10,0))*INDEX(Parsed!$I$2:$I$190,(MATCH(A92,Data!$B$2:$B$22,0)-1)*9+MATCH("Politics",Parsed!$C$2:$C$10,0)),0)+IF(INDEX(Parsed!$K$2:$K$190,(MATCH(B92,Data!$B$2:$B$22,0)-1)*9+MATCH("Marriage",Parsed!$C$2:$C$10,0))=INDEX(Parsed!$H$2:$H$190,(MATCH(A92,Data!$B$2:$B$22,0)-1)*9+MATCH("Marriage",Parsed!$C$2:$C$10,0)),INDEX(Parsed!$M$2:$M$190,(MATCH(B92,Data!$B$2:$B$22,0)-1)*9+MATCH("Marriage",Parsed!$C$2:$C$10,0))*INDEX(Parsed!$I$2:$I$190,(MATCH(A92,Data!$B$2:$B$22,0)-1)*9+MATCH("Marriage",Parsed!$C$2:$C$10,0)),0)+IF(INDEX(Parsed!$K$2:$K$190,(MATCH(B92,Data!$B$2:$B$22,0)-1)*9+MATCH("Children",Parsed!$C$2:$C$10,0))=INDEX(Parsed!$H$2:$H$190,(MATCH(A92,Data!$B$2:$B$22,0)-1)*9+MATCH("Children",Parsed!$C$2:$C$10,0)),INDEX(Parsed!$M$2:$M$190,(MATCH(B92,Data!$B$2:$B$22,0)-1)*9+MATCH("Children",Parsed!$C$2:$C$10,0))*INDEX(Parsed!$I$2:$I$190,(MATCH(A92,Data!$B$2:$B$22,0)-1)*9+MATCH("Children",Parsed!$C$2:$C$10,0)),0)+IF(INDEX(Parsed!$K$2:$K$190,(MATCH(B92,Data!$B$2:$B$22,0)-1)*9+MATCH("Ethicity",Parsed!$C$2:$C$10,0))=INDEX(Parsed!$H$2:$H$190,(MATCH(A92,Data!$B$2:$B$22,0)-1)*9+MATCH("Ethicity",Parsed!$C$2:$C$10,0)),INDEX(Parsed!$M$2:$M$190,(MATCH(B92,Data!$B$2:$B$22,0)-1)*9+MATCH("Ethicity",Parsed!$C$2:$C$10,0))*INDEX(Parsed!$I$2:$I$190,(MATCH(A92,Data!$B$2:$B$22,0)-1)*9+MATCH("Ethicity",Parsed!$C$2:$C$10,0)),0)+IF(INDEX(Parsed!$K$2:$K$190,(MATCH(B92,Data!$B$2:$B$22,0)-1)*9+MATCH("Past",Parsed!$C$2:$C$10,0))=INDEX(Parsed!$H$2:$H$190,(MATCH(A92,Data!$B$2:$B$22,0)-1)*9+MATCH("Past",Parsed!$C$2:$C$10,0)),INDEX(Parsed!$M$2:$M$190,(MATCH(B92,Data!$B$2:$B$22,0)-1)*9+MATCH("Past",Parsed!$C$2:$C$10,0))*INDEX(Parsed!$I$2:$I$190,(MATCH(A92,Data!$B$2:$B$22,0)-1)*9+MATCH("Past",Parsed!$C$2:$C$10,0)),0)+IF(INDEX(Parsed!$K$2:$K$190,(MATCH(B92,Data!$B$2:$B$22,0)-1)*9+MATCH("D/S",Parsed!$C$2:$C$10,0))=INDEX(Parsed!$H$2:$H$190,(MATCH(A92,Data!$B$2:$B$22,0)-1)*9+MATCH("D/S",Parsed!$C$2:$C$10,0)),INDEX(Parsed!$M$2:$M$190,(MATCH(B92,Data!$B$2:$B$22,0)-1)*9+MATCH("D/S",Parsed!$C$2:$C$10,0))*INDEX(Parsed!$I$2:$I$190,(MATCH(A92,Data!$B$2:$B$22,0)-1)*9+MATCH("D/S",Parsed!$C$2:$C$10,0)),0)+IF(INDEX(Parsed!$K$2:$K$190,(MATCH(B92,Data!$B$2:$B$22,0)-1)*9+MATCH("True/kind",Parsed!$C$2:$C$10,0))=INDEX(Parsed!$H$2:$H$190,(MATCH(A92,Data!$B$2:$B$22,0)-1)*9+MATCH("True/kind",Parsed!$C$2:$C$10,0)),INDEX(Parsed!$M$2:$M$190,(MATCH(B92,Data!$B$2:$B$22,0)-1)*9+MATCH("True/kind",Parsed!$C$2:$C$10,0))*INDEX(Parsed!$I$2:$I$190,(MATCH(A92,Data!$B$2:$B$22,0)-1)*9+MATCH("True/kind",Parsed!$C$2:$C$10,0)),0)+IF(INDEX(Parsed!$K$2:$K$190,(MATCH(B92,Data!$B$2:$B$22,0)-1)*9+MATCH("Animal",Parsed!$C$2:$C$10,0))=INDEX(Parsed!$H$2:$H$190,(MATCH(A92,Data!$B$2:$B$22,0)-1)*9+MATCH("Animal",Parsed!$C$2:$C$10,0)),INDEX(Parsed!$M$2:$M$190,(MATCH(B92,Data!$B$2:$B$22,0)-1)*9+MATCH("Animal",Parsed!$C$2:$C$10,0))*INDEX(Parsed!$I$2:$I$190,(MATCH(A92,Data!$B$2:$B$22,0)-1)*9+MATCH("Animal",Parsed!$C$2:$C$10,0)),0),0)</x:f>
        <x:v>46.25</x:v>
      </x:c>
      <x:c r="D92" s="11" t="n">
        <x:f>IFERROR(IF(INDEX(Parsed!$K$2:$K$190,(MATCH(A92,Data!$B$2:$B$22,0)-1)*9+MATCH("God",Parsed!$C$2:$C$10,0))=INDEX(Parsed!$H$2:$H$190,(MATCH(B92,Data!$B$2:$B$22,0)-1)*9+MATCH("God",Parsed!$C$2:$C$10,0)),INDEX(Parsed!$M$2:$M$190,(MATCH(A92,Data!$B$2:$B$22,0)-1)*9+MATCH("God",Parsed!$C$2:$C$10,0))*INDEX(Parsed!$I$2:$I$190,(MATCH(B92,Data!$B$2:$B$22,0)-1)*9+MATCH("God",Parsed!$C$2:$C$10,0)),0)+IF(INDEX(Parsed!$K$2:$K$190,(MATCH(A92,Data!$B$2:$B$22,0)-1)*9+MATCH("Politics",Parsed!$C$2:$C$10,0))=INDEX(Parsed!$H$2:$H$190,(MATCH(B92,Data!$B$2:$B$22,0)-1)*9+MATCH("Politics",Parsed!$C$2:$C$10,0)),INDEX(Parsed!$M$2:$M$190,(MATCH(A92,Data!$B$2:$B$22,0)-1)*9+MATCH("Politics",Parsed!$C$2:$C$10,0))*INDEX(Parsed!$I$2:$I$190,(MATCH(B92,Data!$B$2:$B$22,0)-1)*9+MATCH("Politics",Parsed!$C$2:$C$10,0)),0)+IF(INDEX(Parsed!$K$2:$K$190,(MATCH(A92,Data!$B$2:$B$22,0)-1)*9+MATCH("Marriage",Parsed!$C$2:$C$10,0))=INDEX(Parsed!$H$2:$H$190,(MATCH(B92,Data!$B$2:$B$22,0)-1)*9+MATCH("Marriage",Parsed!$C$2:$C$10,0)),INDEX(Parsed!$M$2:$M$190,(MATCH(A92,Data!$B$2:$B$22,0)-1)*9+MATCH("Marriage",Parsed!$C$2:$C$10,0))*INDEX(Parsed!$I$2:$I$190,(MATCH(B92,Data!$B$2:$B$22,0)-1)*9+MATCH("Marriage",Parsed!$C$2:$C$10,0)),0)+IF(INDEX(Parsed!$K$2:$K$190,(MATCH(A92,Data!$B$2:$B$22,0)-1)*9+MATCH("Children",Parsed!$C$2:$C$10,0))=INDEX(Parsed!$H$2:$H$190,(MATCH(B92,Data!$B$2:$B$22,0)-1)*9+MATCH("Children",Parsed!$C$2:$C$10,0)),INDEX(Parsed!$M$2:$M$190,(MATCH(A92,Data!$B$2:$B$22,0)-1)*9+MATCH("Children",Parsed!$C$2:$C$10,0))*INDEX(Parsed!$I$2:$I$190,(MATCH(B92,Data!$B$2:$B$22,0)-1)*9+MATCH("Children",Parsed!$C$2:$C$10,0)),0)+IF(INDEX(Parsed!$K$2:$K$190,(MATCH(A92,Data!$B$2:$B$22,0)-1)*9+MATCH("Ethicity",Parsed!$C$2:$C$10,0))=INDEX(Parsed!$H$2:$H$190,(MATCH(B92,Data!$B$2:$B$22,0)-1)*9+MATCH("Ethicity",Parsed!$C$2:$C$10,0)),INDEX(Parsed!$M$2:$M$190,(MATCH(A92,Data!$B$2:$B$22,0)-1)*9+MATCH("Ethicity",Parsed!$C$2:$C$10,0))*INDEX(Parsed!$I$2:$I$190,(MATCH(B92,Data!$B$2:$B$22,0)-1)*9+MATCH("Ethicity",Parsed!$C$2:$C$10,0)),0)+IF(INDEX(Parsed!$K$2:$K$190,(MATCH(A92,Data!$B$2:$B$22,0)-1)*9+MATCH("Past",Parsed!$C$2:$C$10,0))=INDEX(Parsed!$H$2:$H$190,(MATCH(B92,Data!$B$2:$B$22,0)-1)*9+MATCH("Past",Parsed!$C$2:$C$10,0)),INDEX(Parsed!$M$2:$M$190,(MATCH(A92,Data!$B$2:$B$22,0)-1)*9+MATCH("Past",Parsed!$C$2:$C$10,0))*INDEX(Parsed!$I$2:$I$190,(MATCH(B92,Data!$B$2:$B$22,0)-1)*9+MATCH("Past",Parsed!$C$2:$C$10,0)),0)+IF(INDEX(Parsed!$K$2:$K$190,(MATCH(A92,Data!$B$2:$B$22,0)-1)*9+MATCH("D/S",Parsed!$C$2:$C$10,0))=INDEX(Parsed!$H$2:$H$190,(MATCH(B92,Data!$B$2:$B$22,0)-1)*9+MATCH("D/S",Parsed!$C$2:$C$10,0)),INDEX(Parsed!$M$2:$M$190,(MATCH(A92,Data!$B$2:$B$22,0)-1)*9+MATCH("D/S",Parsed!$C$2:$C$10,0))*INDEX(Parsed!$I$2:$I$190,(MATCH(B92,Data!$B$2:$B$22,0)-1)*9+MATCH("D/S",Parsed!$C$2:$C$10,0)),0)+IF(INDEX(Parsed!$K$2:$K$190,(MATCH(A92,Data!$B$2:$B$22,0)-1)*9+MATCH("True/kind",Parsed!$C$2:$C$10,0))=INDEX(Parsed!$H$2:$H$190,(MATCH(B92,Data!$B$2:$B$22,0)-1)*9+MATCH("True/kind",Parsed!$C$2:$C$10,0)),INDEX(Parsed!$M$2:$M$190,(MATCH(A92,Data!$B$2:$B$22,0)-1)*9+MATCH("True/kind",Parsed!$C$2:$C$10,0))*INDEX(Parsed!$I$2:$I$190,(MATCH(B92,Data!$B$2:$B$22,0)-1)*9+MATCH("True/kind",Parsed!$C$2:$C$10,0)),0)+IF(INDEX(Parsed!$K$2:$K$190,(MATCH(A92,Data!$B$2:$B$22,0)-1)*9+MATCH("Animal",Parsed!$C$2:$C$10,0))=INDEX(Parsed!$H$2:$H$190,(MATCH(B92,Data!$B$2:$B$22,0)-1)*9+MATCH("Animal",Parsed!$C$2:$C$10,0)),INDEX(Parsed!$M$2:$M$190,(MATCH(A92,Data!$B$2:$B$22,0)-1)*9+MATCH("Animal",Parsed!$C$2:$C$10,0))*INDEX(Parsed!$I$2:$I$190,(MATCH(B92,Data!$B$2:$B$22,0)-1)*9+MATCH("Animal",Parsed!$C$2:$C$10,0)),0),0)</x:f>
        <x:v>41.25</x:v>
      </x:c>
      <x:c r="E92" s="11" t="n">
        <x:f>SQRT(C92*D92)</x:f>
        <x:v>43.67851302414037</x:v>
      </x:c>
    </x:row>
    <x:row r="93">
      <x:c r="A93" t="str">
        <x:v>ayaan</x:v>
      </x:c>
      <x:c r="B93" t="str">
        <x:v>jasmine</x:v>
      </x:c>
      <x:c r="C93" s="11" t="n">
        <x:f>IFERROR(IF(INDEX(Parsed!$K$2:$K$190,(MATCH(B93,Data!$B$2:$B$22,0)-1)*9+MATCH("God",Parsed!$C$2:$C$10,0))=INDEX(Parsed!$H$2:$H$190,(MATCH(A93,Data!$B$2:$B$22,0)-1)*9+MATCH("God",Parsed!$C$2:$C$10,0)),INDEX(Parsed!$M$2:$M$190,(MATCH(B93,Data!$B$2:$B$22,0)-1)*9+MATCH("God",Parsed!$C$2:$C$10,0))*INDEX(Parsed!$I$2:$I$190,(MATCH(A93,Data!$B$2:$B$22,0)-1)*9+MATCH("God",Parsed!$C$2:$C$10,0)),0)+IF(INDEX(Parsed!$K$2:$K$190,(MATCH(B93,Data!$B$2:$B$22,0)-1)*9+MATCH("Politics",Parsed!$C$2:$C$10,0))=INDEX(Parsed!$H$2:$H$190,(MATCH(A93,Data!$B$2:$B$22,0)-1)*9+MATCH("Politics",Parsed!$C$2:$C$10,0)),INDEX(Parsed!$M$2:$M$190,(MATCH(B93,Data!$B$2:$B$22,0)-1)*9+MATCH("Politics",Parsed!$C$2:$C$10,0))*INDEX(Parsed!$I$2:$I$190,(MATCH(A93,Data!$B$2:$B$22,0)-1)*9+MATCH("Politics",Parsed!$C$2:$C$10,0)),0)+IF(INDEX(Parsed!$K$2:$K$190,(MATCH(B93,Data!$B$2:$B$22,0)-1)*9+MATCH("Marriage",Parsed!$C$2:$C$10,0))=INDEX(Parsed!$H$2:$H$190,(MATCH(A93,Data!$B$2:$B$22,0)-1)*9+MATCH("Marriage",Parsed!$C$2:$C$10,0)),INDEX(Parsed!$M$2:$M$190,(MATCH(B93,Data!$B$2:$B$22,0)-1)*9+MATCH("Marriage",Parsed!$C$2:$C$10,0))*INDEX(Parsed!$I$2:$I$190,(MATCH(A93,Data!$B$2:$B$22,0)-1)*9+MATCH("Marriage",Parsed!$C$2:$C$10,0)),0)+IF(INDEX(Parsed!$K$2:$K$190,(MATCH(B93,Data!$B$2:$B$22,0)-1)*9+MATCH("Children",Parsed!$C$2:$C$10,0))=INDEX(Parsed!$H$2:$H$190,(MATCH(A93,Data!$B$2:$B$22,0)-1)*9+MATCH("Children",Parsed!$C$2:$C$10,0)),INDEX(Parsed!$M$2:$M$190,(MATCH(B93,Data!$B$2:$B$22,0)-1)*9+MATCH("Children",Parsed!$C$2:$C$10,0))*INDEX(Parsed!$I$2:$I$190,(MATCH(A93,Data!$B$2:$B$22,0)-1)*9+MATCH("Children",Parsed!$C$2:$C$10,0)),0)+IF(INDEX(Parsed!$K$2:$K$190,(MATCH(B93,Data!$B$2:$B$22,0)-1)*9+MATCH("Ethicity",Parsed!$C$2:$C$10,0))=INDEX(Parsed!$H$2:$H$190,(MATCH(A93,Data!$B$2:$B$22,0)-1)*9+MATCH("Ethicity",Parsed!$C$2:$C$10,0)),INDEX(Parsed!$M$2:$M$190,(MATCH(B93,Data!$B$2:$B$22,0)-1)*9+MATCH("Ethicity",Parsed!$C$2:$C$10,0))*INDEX(Parsed!$I$2:$I$190,(MATCH(A93,Data!$B$2:$B$22,0)-1)*9+MATCH("Ethicity",Parsed!$C$2:$C$10,0)),0)+IF(INDEX(Parsed!$K$2:$K$190,(MATCH(B93,Data!$B$2:$B$22,0)-1)*9+MATCH("Past",Parsed!$C$2:$C$10,0))=INDEX(Parsed!$H$2:$H$190,(MATCH(A93,Data!$B$2:$B$22,0)-1)*9+MATCH("Past",Parsed!$C$2:$C$10,0)),INDEX(Parsed!$M$2:$M$190,(MATCH(B93,Data!$B$2:$B$22,0)-1)*9+MATCH("Past",Parsed!$C$2:$C$10,0))*INDEX(Parsed!$I$2:$I$190,(MATCH(A93,Data!$B$2:$B$22,0)-1)*9+MATCH("Past",Parsed!$C$2:$C$10,0)),0)+IF(INDEX(Parsed!$K$2:$K$190,(MATCH(B93,Data!$B$2:$B$22,0)-1)*9+MATCH("D/S",Parsed!$C$2:$C$10,0))=INDEX(Parsed!$H$2:$H$190,(MATCH(A93,Data!$B$2:$B$22,0)-1)*9+MATCH("D/S",Parsed!$C$2:$C$10,0)),INDEX(Parsed!$M$2:$M$190,(MATCH(B93,Data!$B$2:$B$22,0)-1)*9+MATCH("D/S",Parsed!$C$2:$C$10,0))*INDEX(Parsed!$I$2:$I$190,(MATCH(A93,Data!$B$2:$B$22,0)-1)*9+MATCH("D/S",Parsed!$C$2:$C$10,0)),0)+IF(INDEX(Parsed!$K$2:$K$190,(MATCH(B93,Data!$B$2:$B$22,0)-1)*9+MATCH("True/kind",Parsed!$C$2:$C$10,0))=INDEX(Parsed!$H$2:$H$190,(MATCH(A93,Data!$B$2:$B$22,0)-1)*9+MATCH("True/kind",Parsed!$C$2:$C$10,0)),INDEX(Parsed!$M$2:$M$190,(MATCH(B93,Data!$B$2:$B$22,0)-1)*9+MATCH("True/kind",Parsed!$C$2:$C$10,0))*INDEX(Parsed!$I$2:$I$190,(MATCH(A93,Data!$B$2:$B$22,0)-1)*9+MATCH("True/kind",Parsed!$C$2:$C$10,0)),0)+IF(INDEX(Parsed!$K$2:$K$190,(MATCH(B93,Data!$B$2:$B$22,0)-1)*9+MATCH("Animal",Parsed!$C$2:$C$10,0))=INDEX(Parsed!$H$2:$H$190,(MATCH(A93,Data!$B$2:$B$22,0)-1)*9+MATCH("Animal",Parsed!$C$2:$C$10,0)),INDEX(Parsed!$M$2:$M$190,(MATCH(B93,Data!$B$2:$B$22,0)-1)*9+MATCH("Animal",Parsed!$C$2:$C$10,0))*INDEX(Parsed!$I$2:$I$190,(MATCH(A93,Data!$B$2:$B$22,0)-1)*9+MATCH("Animal",Parsed!$C$2:$C$10,0)),0),0)</x:f>
        <x:v>22.5</x:v>
      </x:c>
      <x:c r="D93" s="11" t="n">
        <x:f>IFERROR(IF(INDEX(Parsed!$K$2:$K$190,(MATCH(A93,Data!$B$2:$B$22,0)-1)*9+MATCH("God",Parsed!$C$2:$C$10,0))=INDEX(Parsed!$H$2:$H$190,(MATCH(B93,Data!$B$2:$B$22,0)-1)*9+MATCH("God",Parsed!$C$2:$C$10,0)),INDEX(Parsed!$M$2:$M$190,(MATCH(A93,Data!$B$2:$B$22,0)-1)*9+MATCH("God",Parsed!$C$2:$C$10,0))*INDEX(Parsed!$I$2:$I$190,(MATCH(B93,Data!$B$2:$B$22,0)-1)*9+MATCH("God",Parsed!$C$2:$C$10,0)),0)+IF(INDEX(Parsed!$K$2:$K$190,(MATCH(A93,Data!$B$2:$B$22,0)-1)*9+MATCH("Politics",Parsed!$C$2:$C$10,0))=INDEX(Parsed!$H$2:$H$190,(MATCH(B93,Data!$B$2:$B$22,0)-1)*9+MATCH("Politics",Parsed!$C$2:$C$10,0)),INDEX(Parsed!$M$2:$M$190,(MATCH(A93,Data!$B$2:$B$22,0)-1)*9+MATCH("Politics",Parsed!$C$2:$C$10,0))*INDEX(Parsed!$I$2:$I$190,(MATCH(B93,Data!$B$2:$B$22,0)-1)*9+MATCH("Politics",Parsed!$C$2:$C$10,0)),0)+IF(INDEX(Parsed!$K$2:$K$190,(MATCH(A93,Data!$B$2:$B$22,0)-1)*9+MATCH("Marriage",Parsed!$C$2:$C$10,0))=INDEX(Parsed!$H$2:$H$190,(MATCH(B93,Data!$B$2:$B$22,0)-1)*9+MATCH("Marriage",Parsed!$C$2:$C$10,0)),INDEX(Parsed!$M$2:$M$190,(MATCH(A93,Data!$B$2:$B$22,0)-1)*9+MATCH("Marriage",Parsed!$C$2:$C$10,0))*INDEX(Parsed!$I$2:$I$190,(MATCH(B93,Data!$B$2:$B$22,0)-1)*9+MATCH("Marriage",Parsed!$C$2:$C$10,0)),0)+IF(INDEX(Parsed!$K$2:$K$190,(MATCH(A93,Data!$B$2:$B$22,0)-1)*9+MATCH("Children",Parsed!$C$2:$C$10,0))=INDEX(Parsed!$H$2:$H$190,(MATCH(B93,Data!$B$2:$B$22,0)-1)*9+MATCH("Children",Parsed!$C$2:$C$10,0)),INDEX(Parsed!$M$2:$M$190,(MATCH(A93,Data!$B$2:$B$22,0)-1)*9+MATCH("Children",Parsed!$C$2:$C$10,0))*INDEX(Parsed!$I$2:$I$190,(MATCH(B93,Data!$B$2:$B$22,0)-1)*9+MATCH("Children",Parsed!$C$2:$C$10,0)),0)+IF(INDEX(Parsed!$K$2:$K$190,(MATCH(A93,Data!$B$2:$B$22,0)-1)*9+MATCH("Ethicity",Parsed!$C$2:$C$10,0))=INDEX(Parsed!$H$2:$H$190,(MATCH(B93,Data!$B$2:$B$22,0)-1)*9+MATCH("Ethicity",Parsed!$C$2:$C$10,0)),INDEX(Parsed!$M$2:$M$190,(MATCH(A93,Data!$B$2:$B$22,0)-1)*9+MATCH("Ethicity",Parsed!$C$2:$C$10,0))*INDEX(Parsed!$I$2:$I$190,(MATCH(B93,Data!$B$2:$B$22,0)-1)*9+MATCH("Ethicity",Parsed!$C$2:$C$10,0)),0)+IF(INDEX(Parsed!$K$2:$K$190,(MATCH(A93,Data!$B$2:$B$22,0)-1)*9+MATCH("Past",Parsed!$C$2:$C$10,0))=INDEX(Parsed!$H$2:$H$190,(MATCH(B93,Data!$B$2:$B$22,0)-1)*9+MATCH("Past",Parsed!$C$2:$C$10,0)),INDEX(Parsed!$M$2:$M$190,(MATCH(A93,Data!$B$2:$B$22,0)-1)*9+MATCH("Past",Parsed!$C$2:$C$10,0))*INDEX(Parsed!$I$2:$I$190,(MATCH(B93,Data!$B$2:$B$22,0)-1)*9+MATCH("Past",Parsed!$C$2:$C$10,0)),0)+IF(INDEX(Parsed!$K$2:$K$190,(MATCH(A93,Data!$B$2:$B$22,0)-1)*9+MATCH("D/S",Parsed!$C$2:$C$10,0))=INDEX(Parsed!$H$2:$H$190,(MATCH(B93,Data!$B$2:$B$22,0)-1)*9+MATCH("D/S",Parsed!$C$2:$C$10,0)),INDEX(Parsed!$M$2:$M$190,(MATCH(A93,Data!$B$2:$B$22,0)-1)*9+MATCH("D/S",Parsed!$C$2:$C$10,0))*INDEX(Parsed!$I$2:$I$190,(MATCH(B93,Data!$B$2:$B$22,0)-1)*9+MATCH("D/S",Parsed!$C$2:$C$10,0)),0)+IF(INDEX(Parsed!$K$2:$K$190,(MATCH(A93,Data!$B$2:$B$22,0)-1)*9+MATCH("True/kind",Parsed!$C$2:$C$10,0))=INDEX(Parsed!$H$2:$H$190,(MATCH(B93,Data!$B$2:$B$22,0)-1)*9+MATCH("True/kind",Parsed!$C$2:$C$10,0)),INDEX(Parsed!$M$2:$M$190,(MATCH(A93,Data!$B$2:$B$22,0)-1)*9+MATCH("True/kind",Parsed!$C$2:$C$10,0))*INDEX(Parsed!$I$2:$I$190,(MATCH(B93,Data!$B$2:$B$22,0)-1)*9+MATCH("True/kind",Parsed!$C$2:$C$10,0)),0)+IF(INDEX(Parsed!$K$2:$K$190,(MATCH(A93,Data!$B$2:$B$22,0)-1)*9+MATCH("Animal",Parsed!$C$2:$C$10,0))=INDEX(Parsed!$H$2:$H$190,(MATCH(B93,Data!$B$2:$B$22,0)-1)*9+MATCH("Animal",Parsed!$C$2:$C$10,0)),INDEX(Parsed!$M$2:$M$190,(MATCH(A93,Data!$B$2:$B$22,0)-1)*9+MATCH("Animal",Parsed!$C$2:$C$10,0))*INDEX(Parsed!$I$2:$I$190,(MATCH(B93,Data!$B$2:$B$22,0)-1)*9+MATCH("Animal",Parsed!$C$2:$C$10,0)),0),0)</x:f>
        <x:v>20</x:v>
      </x:c>
      <x:c r="E93" s="11" t="n">
        <x:f>SQRT(C93*D93)</x:f>
        <x:v>21.213203435596427</x:v>
      </x:c>
    </x:row>
    <x:row r="94">
      <x:c r="A94" t="str">
        <x:v>ayaan</x:v>
      </x:c>
      <x:c r="B94" t="str">
        <x:v>cathleen</x:v>
      </x:c>
      <x:c r="C94" s="11" t="n">
        <x:f>IFERROR(IF(INDEX(Parsed!$K$2:$K$190,(MATCH(B94,Data!$B$2:$B$22,0)-1)*9+MATCH("God",Parsed!$C$2:$C$10,0))=INDEX(Parsed!$H$2:$H$190,(MATCH(A94,Data!$B$2:$B$22,0)-1)*9+MATCH("God",Parsed!$C$2:$C$10,0)),INDEX(Parsed!$M$2:$M$190,(MATCH(B94,Data!$B$2:$B$22,0)-1)*9+MATCH("God",Parsed!$C$2:$C$10,0))*INDEX(Parsed!$I$2:$I$190,(MATCH(A94,Data!$B$2:$B$22,0)-1)*9+MATCH("God",Parsed!$C$2:$C$10,0)),0)+IF(INDEX(Parsed!$K$2:$K$190,(MATCH(B94,Data!$B$2:$B$22,0)-1)*9+MATCH("Politics",Parsed!$C$2:$C$10,0))=INDEX(Parsed!$H$2:$H$190,(MATCH(A94,Data!$B$2:$B$22,0)-1)*9+MATCH("Politics",Parsed!$C$2:$C$10,0)),INDEX(Parsed!$M$2:$M$190,(MATCH(B94,Data!$B$2:$B$22,0)-1)*9+MATCH("Politics",Parsed!$C$2:$C$10,0))*INDEX(Parsed!$I$2:$I$190,(MATCH(A94,Data!$B$2:$B$22,0)-1)*9+MATCH("Politics",Parsed!$C$2:$C$10,0)),0)+IF(INDEX(Parsed!$K$2:$K$190,(MATCH(B94,Data!$B$2:$B$22,0)-1)*9+MATCH("Marriage",Parsed!$C$2:$C$10,0))=INDEX(Parsed!$H$2:$H$190,(MATCH(A94,Data!$B$2:$B$22,0)-1)*9+MATCH("Marriage",Parsed!$C$2:$C$10,0)),INDEX(Parsed!$M$2:$M$190,(MATCH(B94,Data!$B$2:$B$22,0)-1)*9+MATCH("Marriage",Parsed!$C$2:$C$10,0))*INDEX(Parsed!$I$2:$I$190,(MATCH(A94,Data!$B$2:$B$22,0)-1)*9+MATCH("Marriage",Parsed!$C$2:$C$10,0)),0)+IF(INDEX(Parsed!$K$2:$K$190,(MATCH(B94,Data!$B$2:$B$22,0)-1)*9+MATCH("Children",Parsed!$C$2:$C$10,0))=INDEX(Parsed!$H$2:$H$190,(MATCH(A94,Data!$B$2:$B$22,0)-1)*9+MATCH("Children",Parsed!$C$2:$C$10,0)),INDEX(Parsed!$M$2:$M$190,(MATCH(B94,Data!$B$2:$B$22,0)-1)*9+MATCH("Children",Parsed!$C$2:$C$10,0))*INDEX(Parsed!$I$2:$I$190,(MATCH(A94,Data!$B$2:$B$22,0)-1)*9+MATCH("Children",Parsed!$C$2:$C$10,0)),0)+IF(INDEX(Parsed!$K$2:$K$190,(MATCH(B94,Data!$B$2:$B$22,0)-1)*9+MATCH("Ethicity",Parsed!$C$2:$C$10,0))=INDEX(Parsed!$H$2:$H$190,(MATCH(A94,Data!$B$2:$B$22,0)-1)*9+MATCH("Ethicity",Parsed!$C$2:$C$10,0)),INDEX(Parsed!$M$2:$M$190,(MATCH(B94,Data!$B$2:$B$22,0)-1)*9+MATCH("Ethicity",Parsed!$C$2:$C$10,0))*INDEX(Parsed!$I$2:$I$190,(MATCH(A94,Data!$B$2:$B$22,0)-1)*9+MATCH("Ethicity",Parsed!$C$2:$C$10,0)),0)+IF(INDEX(Parsed!$K$2:$K$190,(MATCH(B94,Data!$B$2:$B$22,0)-1)*9+MATCH("Past",Parsed!$C$2:$C$10,0))=INDEX(Parsed!$H$2:$H$190,(MATCH(A94,Data!$B$2:$B$22,0)-1)*9+MATCH("Past",Parsed!$C$2:$C$10,0)),INDEX(Parsed!$M$2:$M$190,(MATCH(B94,Data!$B$2:$B$22,0)-1)*9+MATCH("Past",Parsed!$C$2:$C$10,0))*INDEX(Parsed!$I$2:$I$190,(MATCH(A94,Data!$B$2:$B$22,0)-1)*9+MATCH("Past",Parsed!$C$2:$C$10,0)),0)+IF(INDEX(Parsed!$K$2:$K$190,(MATCH(B94,Data!$B$2:$B$22,0)-1)*9+MATCH("D/S",Parsed!$C$2:$C$10,0))=INDEX(Parsed!$H$2:$H$190,(MATCH(A94,Data!$B$2:$B$22,0)-1)*9+MATCH("D/S",Parsed!$C$2:$C$10,0)),INDEX(Parsed!$M$2:$M$190,(MATCH(B94,Data!$B$2:$B$22,0)-1)*9+MATCH("D/S",Parsed!$C$2:$C$10,0))*INDEX(Parsed!$I$2:$I$190,(MATCH(A94,Data!$B$2:$B$22,0)-1)*9+MATCH("D/S",Parsed!$C$2:$C$10,0)),0)+IF(INDEX(Parsed!$K$2:$K$190,(MATCH(B94,Data!$B$2:$B$22,0)-1)*9+MATCH("True/kind",Parsed!$C$2:$C$10,0))=INDEX(Parsed!$H$2:$H$190,(MATCH(A94,Data!$B$2:$B$22,0)-1)*9+MATCH("True/kind",Parsed!$C$2:$C$10,0)),INDEX(Parsed!$M$2:$M$190,(MATCH(B94,Data!$B$2:$B$22,0)-1)*9+MATCH("True/kind",Parsed!$C$2:$C$10,0))*INDEX(Parsed!$I$2:$I$190,(MATCH(A94,Data!$B$2:$B$22,0)-1)*9+MATCH("True/kind",Parsed!$C$2:$C$10,0)),0)+IF(INDEX(Parsed!$K$2:$K$190,(MATCH(B94,Data!$B$2:$B$22,0)-1)*9+MATCH("Animal",Parsed!$C$2:$C$10,0))=INDEX(Parsed!$H$2:$H$190,(MATCH(A94,Data!$B$2:$B$22,0)-1)*9+MATCH("Animal",Parsed!$C$2:$C$10,0)),INDEX(Parsed!$M$2:$M$190,(MATCH(B94,Data!$B$2:$B$22,0)-1)*9+MATCH("Animal",Parsed!$C$2:$C$10,0))*INDEX(Parsed!$I$2:$I$190,(MATCH(A94,Data!$B$2:$B$22,0)-1)*9+MATCH("Animal",Parsed!$C$2:$C$10,0)),0),0)</x:f>
        <x:v>40</x:v>
      </x:c>
      <x:c r="D94" s="11" t="n">
        <x:f>IFERROR(IF(INDEX(Parsed!$K$2:$K$190,(MATCH(A94,Data!$B$2:$B$22,0)-1)*9+MATCH("God",Parsed!$C$2:$C$10,0))=INDEX(Parsed!$H$2:$H$190,(MATCH(B94,Data!$B$2:$B$22,0)-1)*9+MATCH("God",Parsed!$C$2:$C$10,0)),INDEX(Parsed!$M$2:$M$190,(MATCH(A94,Data!$B$2:$B$22,0)-1)*9+MATCH("God",Parsed!$C$2:$C$10,0))*INDEX(Parsed!$I$2:$I$190,(MATCH(B94,Data!$B$2:$B$22,0)-1)*9+MATCH("God",Parsed!$C$2:$C$10,0)),0)+IF(INDEX(Parsed!$K$2:$K$190,(MATCH(A94,Data!$B$2:$B$22,0)-1)*9+MATCH("Politics",Parsed!$C$2:$C$10,0))=INDEX(Parsed!$H$2:$H$190,(MATCH(B94,Data!$B$2:$B$22,0)-1)*9+MATCH("Politics",Parsed!$C$2:$C$10,0)),INDEX(Parsed!$M$2:$M$190,(MATCH(A94,Data!$B$2:$B$22,0)-1)*9+MATCH("Politics",Parsed!$C$2:$C$10,0))*INDEX(Parsed!$I$2:$I$190,(MATCH(B94,Data!$B$2:$B$22,0)-1)*9+MATCH("Politics",Parsed!$C$2:$C$10,0)),0)+IF(INDEX(Parsed!$K$2:$K$190,(MATCH(A94,Data!$B$2:$B$22,0)-1)*9+MATCH("Marriage",Parsed!$C$2:$C$10,0))=INDEX(Parsed!$H$2:$H$190,(MATCH(B94,Data!$B$2:$B$22,0)-1)*9+MATCH("Marriage",Parsed!$C$2:$C$10,0)),INDEX(Parsed!$M$2:$M$190,(MATCH(A94,Data!$B$2:$B$22,0)-1)*9+MATCH("Marriage",Parsed!$C$2:$C$10,0))*INDEX(Parsed!$I$2:$I$190,(MATCH(B94,Data!$B$2:$B$22,0)-1)*9+MATCH("Marriage",Parsed!$C$2:$C$10,0)),0)+IF(INDEX(Parsed!$K$2:$K$190,(MATCH(A94,Data!$B$2:$B$22,0)-1)*9+MATCH("Children",Parsed!$C$2:$C$10,0))=INDEX(Parsed!$H$2:$H$190,(MATCH(B94,Data!$B$2:$B$22,0)-1)*9+MATCH("Children",Parsed!$C$2:$C$10,0)),INDEX(Parsed!$M$2:$M$190,(MATCH(A94,Data!$B$2:$B$22,0)-1)*9+MATCH("Children",Parsed!$C$2:$C$10,0))*INDEX(Parsed!$I$2:$I$190,(MATCH(B94,Data!$B$2:$B$22,0)-1)*9+MATCH("Children",Parsed!$C$2:$C$10,0)),0)+IF(INDEX(Parsed!$K$2:$K$190,(MATCH(A94,Data!$B$2:$B$22,0)-1)*9+MATCH("Ethicity",Parsed!$C$2:$C$10,0))=INDEX(Parsed!$H$2:$H$190,(MATCH(B94,Data!$B$2:$B$22,0)-1)*9+MATCH("Ethicity",Parsed!$C$2:$C$10,0)),INDEX(Parsed!$M$2:$M$190,(MATCH(A94,Data!$B$2:$B$22,0)-1)*9+MATCH("Ethicity",Parsed!$C$2:$C$10,0))*INDEX(Parsed!$I$2:$I$190,(MATCH(B94,Data!$B$2:$B$22,0)-1)*9+MATCH("Ethicity",Parsed!$C$2:$C$10,0)),0)+IF(INDEX(Parsed!$K$2:$K$190,(MATCH(A94,Data!$B$2:$B$22,0)-1)*9+MATCH("Past",Parsed!$C$2:$C$10,0))=INDEX(Parsed!$H$2:$H$190,(MATCH(B94,Data!$B$2:$B$22,0)-1)*9+MATCH("Past",Parsed!$C$2:$C$10,0)),INDEX(Parsed!$M$2:$M$190,(MATCH(A94,Data!$B$2:$B$22,0)-1)*9+MATCH("Past",Parsed!$C$2:$C$10,0))*INDEX(Parsed!$I$2:$I$190,(MATCH(B94,Data!$B$2:$B$22,0)-1)*9+MATCH("Past",Parsed!$C$2:$C$10,0)),0)+IF(INDEX(Parsed!$K$2:$K$190,(MATCH(A94,Data!$B$2:$B$22,0)-1)*9+MATCH("D/S",Parsed!$C$2:$C$10,0))=INDEX(Parsed!$H$2:$H$190,(MATCH(B94,Data!$B$2:$B$22,0)-1)*9+MATCH("D/S",Parsed!$C$2:$C$10,0)),INDEX(Parsed!$M$2:$M$190,(MATCH(A94,Data!$B$2:$B$22,0)-1)*9+MATCH("D/S",Parsed!$C$2:$C$10,0))*INDEX(Parsed!$I$2:$I$190,(MATCH(B94,Data!$B$2:$B$22,0)-1)*9+MATCH("D/S",Parsed!$C$2:$C$10,0)),0)+IF(INDEX(Parsed!$K$2:$K$190,(MATCH(A94,Data!$B$2:$B$22,0)-1)*9+MATCH("True/kind",Parsed!$C$2:$C$10,0))=INDEX(Parsed!$H$2:$H$190,(MATCH(B94,Data!$B$2:$B$22,0)-1)*9+MATCH("True/kind",Parsed!$C$2:$C$10,0)),INDEX(Parsed!$M$2:$M$190,(MATCH(A94,Data!$B$2:$B$22,0)-1)*9+MATCH("True/kind",Parsed!$C$2:$C$10,0))*INDEX(Parsed!$I$2:$I$190,(MATCH(B94,Data!$B$2:$B$22,0)-1)*9+MATCH("True/kind",Parsed!$C$2:$C$10,0)),0)+IF(INDEX(Parsed!$K$2:$K$190,(MATCH(A94,Data!$B$2:$B$22,0)-1)*9+MATCH("Animal",Parsed!$C$2:$C$10,0))=INDEX(Parsed!$H$2:$H$190,(MATCH(B94,Data!$B$2:$B$22,0)-1)*9+MATCH("Animal",Parsed!$C$2:$C$10,0)),INDEX(Parsed!$M$2:$M$190,(MATCH(A94,Data!$B$2:$B$22,0)-1)*9+MATCH("Animal",Parsed!$C$2:$C$10,0))*INDEX(Parsed!$I$2:$I$190,(MATCH(B94,Data!$B$2:$B$22,0)-1)*9+MATCH("Animal",Parsed!$C$2:$C$10,0)),0),0)</x:f>
        <x:v>67.5</x:v>
      </x:c>
      <x:c r="E94" s="11" t="n">
        <x:f>SQRT(C94*D94)</x:f>
        <x:v>51.96152422706632</x:v>
      </x:c>
    </x:row>
    <x:row r="95">
      <x:c r="A95" t="str">
        <x:v>ayaan</x:v>
      </x:c>
      <x:c r="B95" t="str">
        <x:v>edith</x:v>
      </x:c>
      <x:c r="C95" s="11" t="n">
        <x:f>IFERROR(IF(INDEX(Parsed!$K$2:$K$190,(MATCH(B95,Data!$B$2:$B$22,0)-1)*9+MATCH("God",Parsed!$C$2:$C$10,0))=INDEX(Parsed!$H$2:$H$190,(MATCH(A95,Data!$B$2:$B$22,0)-1)*9+MATCH("God",Parsed!$C$2:$C$10,0)),INDEX(Parsed!$M$2:$M$190,(MATCH(B95,Data!$B$2:$B$22,0)-1)*9+MATCH("God",Parsed!$C$2:$C$10,0))*INDEX(Parsed!$I$2:$I$190,(MATCH(A95,Data!$B$2:$B$22,0)-1)*9+MATCH("God",Parsed!$C$2:$C$10,0)),0)+IF(INDEX(Parsed!$K$2:$K$190,(MATCH(B95,Data!$B$2:$B$22,0)-1)*9+MATCH("Politics",Parsed!$C$2:$C$10,0))=INDEX(Parsed!$H$2:$H$190,(MATCH(A95,Data!$B$2:$B$22,0)-1)*9+MATCH("Politics",Parsed!$C$2:$C$10,0)),INDEX(Parsed!$M$2:$M$190,(MATCH(B95,Data!$B$2:$B$22,0)-1)*9+MATCH("Politics",Parsed!$C$2:$C$10,0))*INDEX(Parsed!$I$2:$I$190,(MATCH(A95,Data!$B$2:$B$22,0)-1)*9+MATCH("Politics",Parsed!$C$2:$C$10,0)),0)+IF(INDEX(Parsed!$K$2:$K$190,(MATCH(B95,Data!$B$2:$B$22,0)-1)*9+MATCH("Marriage",Parsed!$C$2:$C$10,0))=INDEX(Parsed!$H$2:$H$190,(MATCH(A95,Data!$B$2:$B$22,0)-1)*9+MATCH("Marriage",Parsed!$C$2:$C$10,0)),INDEX(Parsed!$M$2:$M$190,(MATCH(B95,Data!$B$2:$B$22,0)-1)*9+MATCH("Marriage",Parsed!$C$2:$C$10,0))*INDEX(Parsed!$I$2:$I$190,(MATCH(A95,Data!$B$2:$B$22,0)-1)*9+MATCH("Marriage",Parsed!$C$2:$C$10,0)),0)+IF(INDEX(Parsed!$K$2:$K$190,(MATCH(B95,Data!$B$2:$B$22,0)-1)*9+MATCH("Children",Parsed!$C$2:$C$10,0))=INDEX(Parsed!$H$2:$H$190,(MATCH(A95,Data!$B$2:$B$22,0)-1)*9+MATCH("Children",Parsed!$C$2:$C$10,0)),INDEX(Parsed!$M$2:$M$190,(MATCH(B95,Data!$B$2:$B$22,0)-1)*9+MATCH("Children",Parsed!$C$2:$C$10,0))*INDEX(Parsed!$I$2:$I$190,(MATCH(A95,Data!$B$2:$B$22,0)-1)*9+MATCH("Children",Parsed!$C$2:$C$10,0)),0)+IF(INDEX(Parsed!$K$2:$K$190,(MATCH(B95,Data!$B$2:$B$22,0)-1)*9+MATCH("Ethicity",Parsed!$C$2:$C$10,0))=INDEX(Parsed!$H$2:$H$190,(MATCH(A95,Data!$B$2:$B$22,0)-1)*9+MATCH("Ethicity",Parsed!$C$2:$C$10,0)),INDEX(Parsed!$M$2:$M$190,(MATCH(B95,Data!$B$2:$B$22,0)-1)*9+MATCH("Ethicity",Parsed!$C$2:$C$10,0))*INDEX(Parsed!$I$2:$I$190,(MATCH(A95,Data!$B$2:$B$22,0)-1)*9+MATCH("Ethicity",Parsed!$C$2:$C$10,0)),0)+IF(INDEX(Parsed!$K$2:$K$190,(MATCH(B95,Data!$B$2:$B$22,0)-1)*9+MATCH("Past",Parsed!$C$2:$C$10,0))=INDEX(Parsed!$H$2:$H$190,(MATCH(A95,Data!$B$2:$B$22,0)-1)*9+MATCH("Past",Parsed!$C$2:$C$10,0)),INDEX(Parsed!$M$2:$M$190,(MATCH(B95,Data!$B$2:$B$22,0)-1)*9+MATCH("Past",Parsed!$C$2:$C$10,0))*INDEX(Parsed!$I$2:$I$190,(MATCH(A95,Data!$B$2:$B$22,0)-1)*9+MATCH("Past",Parsed!$C$2:$C$10,0)),0)+IF(INDEX(Parsed!$K$2:$K$190,(MATCH(B95,Data!$B$2:$B$22,0)-1)*9+MATCH("D/S",Parsed!$C$2:$C$10,0))=INDEX(Parsed!$H$2:$H$190,(MATCH(A95,Data!$B$2:$B$22,0)-1)*9+MATCH("D/S",Parsed!$C$2:$C$10,0)),INDEX(Parsed!$M$2:$M$190,(MATCH(B95,Data!$B$2:$B$22,0)-1)*9+MATCH("D/S",Parsed!$C$2:$C$10,0))*INDEX(Parsed!$I$2:$I$190,(MATCH(A95,Data!$B$2:$B$22,0)-1)*9+MATCH("D/S",Parsed!$C$2:$C$10,0)),0)+IF(INDEX(Parsed!$K$2:$K$190,(MATCH(B95,Data!$B$2:$B$22,0)-1)*9+MATCH("True/kind",Parsed!$C$2:$C$10,0))=INDEX(Parsed!$H$2:$H$190,(MATCH(A95,Data!$B$2:$B$22,0)-1)*9+MATCH("True/kind",Parsed!$C$2:$C$10,0)),INDEX(Parsed!$M$2:$M$190,(MATCH(B95,Data!$B$2:$B$22,0)-1)*9+MATCH("True/kind",Parsed!$C$2:$C$10,0))*INDEX(Parsed!$I$2:$I$190,(MATCH(A95,Data!$B$2:$B$22,0)-1)*9+MATCH("True/kind",Parsed!$C$2:$C$10,0)),0)+IF(INDEX(Parsed!$K$2:$K$190,(MATCH(B95,Data!$B$2:$B$22,0)-1)*9+MATCH("Animal",Parsed!$C$2:$C$10,0))=INDEX(Parsed!$H$2:$H$190,(MATCH(A95,Data!$B$2:$B$22,0)-1)*9+MATCH("Animal",Parsed!$C$2:$C$10,0)),INDEX(Parsed!$M$2:$M$190,(MATCH(B95,Data!$B$2:$B$22,0)-1)*9+MATCH("Animal",Parsed!$C$2:$C$10,0))*INDEX(Parsed!$I$2:$I$190,(MATCH(A95,Data!$B$2:$B$22,0)-1)*9+MATCH("Animal",Parsed!$C$2:$C$10,0)),0),0)</x:f>
        <x:v>50</x:v>
      </x:c>
      <x:c r="D95" s="11" t="n">
        <x:f>IFERROR(IF(INDEX(Parsed!$K$2:$K$190,(MATCH(A95,Data!$B$2:$B$22,0)-1)*9+MATCH("God",Parsed!$C$2:$C$10,0))=INDEX(Parsed!$H$2:$H$190,(MATCH(B95,Data!$B$2:$B$22,0)-1)*9+MATCH("God",Parsed!$C$2:$C$10,0)),INDEX(Parsed!$M$2:$M$190,(MATCH(A95,Data!$B$2:$B$22,0)-1)*9+MATCH("God",Parsed!$C$2:$C$10,0))*INDEX(Parsed!$I$2:$I$190,(MATCH(B95,Data!$B$2:$B$22,0)-1)*9+MATCH("God",Parsed!$C$2:$C$10,0)),0)+IF(INDEX(Parsed!$K$2:$K$190,(MATCH(A95,Data!$B$2:$B$22,0)-1)*9+MATCH("Politics",Parsed!$C$2:$C$10,0))=INDEX(Parsed!$H$2:$H$190,(MATCH(B95,Data!$B$2:$B$22,0)-1)*9+MATCH("Politics",Parsed!$C$2:$C$10,0)),INDEX(Parsed!$M$2:$M$190,(MATCH(A95,Data!$B$2:$B$22,0)-1)*9+MATCH("Politics",Parsed!$C$2:$C$10,0))*INDEX(Parsed!$I$2:$I$190,(MATCH(B95,Data!$B$2:$B$22,0)-1)*9+MATCH("Politics",Parsed!$C$2:$C$10,0)),0)+IF(INDEX(Parsed!$K$2:$K$190,(MATCH(A95,Data!$B$2:$B$22,0)-1)*9+MATCH("Marriage",Parsed!$C$2:$C$10,0))=INDEX(Parsed!$H$2:$H$190,(MATCH(B95,Data!$B$2:$B$22,0)-1)*9+MATCH("Marriage",Parsed!$C$2:$C$10,0)),INDEX(Parsed!$M$2:$M$190,(MATCH(A95,Data!$B$2:$B$22,0)-1)*9+MATCH("Marriage",Parsed!$C$2:$C$10,0))*INDEX(Parsed!$I$2:$I$190,(MATCH(B95,Data!$B$2:$B$22,0)-1)*9+MATCH("Marriage",Parsed!$C$2:$C$10,0)),0)+IF(INDEX(Parsed!$K$2:$K$190,(MATCH(A95,Data!$B$2:$B$22,0)-1)*9+MATCH("Children",Parsed!$C$2:$C$10,0))=INDEX(Parsed!$H$2:$H$190,(MATCH(B95,Data!$B$2:$B$22,0)-1)*9+MATCH("Children",Parsed!$C$2:$C$10,0)),INDEX(Parsed!$M$2:$M$190,(MATCH(A95,Data!$B$2:$B$22,0)-1)*9+MATCH("Children",Parsed!$C$2:$C$10,0))*INDEX(Parsed!$I$2:$I$190,(MATCH(B95,Data!$B$2:$B$22,0)-1)*9+MATCH("Children",Parsed!$C$2:$C$10,0)),0)+IF(INDEX(Parsed!$K$2:$K$190,(MATCH(A95,Data!$B$2:$B$22,0)-1)*9+MATCH("Ethicity",Parsed!$C$2:$C$10,0))=INDEX(Parsed!$H$2:$H$190,(MATCH(B95,Data!$B$2:$B$22,0)-1)*9+MATCH("Ethicity",Parsed!$C$2:$C$10,0)),INDEX(Parsed!$M$2:$M$190,(MATCH(A95,Data!$B$2:$B$22,0)-1)*9+MATCH("Ethicity",Parsed!$C$2:$C$10,0))*INDEX(Parsed!$I$2:$I$190,(MATCH(B95,Data!$B$2:$B$22,0)-1)*9+MATCH("Ethicity",Parsed!$C$2:$C$10,0)),0)+IF(INDEX(Parsed!$K$2:$K$190,(MATCH(A95,Data!$B$2:$B$22,0)-1)*9+MATCH("Past",Parsed!$C$2:$C$10,0))=INDEX(Parsed!$H$2:$H$190,(MATCH(B95,Data!$B$2:$B$22,0)-1)*9+MATCH("Past",Parsed!$C$2:$C$10,0)),INDEX(Parsed!$M$2:$M$190,(MATCH(A95,Data!$B$2:$B$22,0)-1)*9+MATCH("Past",Parsed!$C$2:$C$10,0))*INDEX(Parsed!$I$2:$I$190,(MATCH(B95,Data!$B$2:$B$22,0)-1)*9+MATCH("Past",Parsed!$C$2:$C$10,0)),0)+IF(INDEX(Parsed!$K$2:$K$190,(MATCH(A95,Data!$B$2:$B$22,0)-1)*9+MATCH("D/S",Parsed!$C$2:$C$10,0))=INDEX(Parsed!$H$2:$H$190,(MATCH(B95,Data!$B$2:$B$22,0)-1)*9+MATCH("D/S",Parsed!$C$2:$C$10,0)),INDEX(Parsed!$M$2:$M$190,(MATCH(A95,Data!$B$2:$B$22,0)-1)*9+MATCH("D/S",Parsed!$C$2:$C$10,0))*INDEX(Parsed!$I$2:$I$190,(MATCH(B95,Data!$B$2:$B$22,0)-1)*9+MATCH("D/S",Parsed!$C$2:$C$10,0)),0)+IF(INDEX(Parsed!$K$2:$K$190,(MATCH(A95,Data!$B$2:$B$22,0)-1)*9+MATCH("True/kind",Parsed!$C$2:$C$10,0))=INDEX(Parsed!$H$2:$H$190,(MATCH(B95,Data!$B$2:$B$22,0)-1)*9+MATCH("True/kind",Parsed!$C$2:$C$10,0)),INDEX(Parsed!$M$2:$M$190,(MATCH(A95,Data!$B$2:$B$22,0)-1)*9+MATCH("True/kind",Parsed!$C$2:$C$10,0))*INDEX(Parsed!$I$2:$I$190,(MATCH(B95,Data!$B$2:$B$22,0)-1)*9+MATCH("True/kind",Parsed!$C$2:$C$10,0)),0)+IF(INDEX(Parsed!$K$2:$K$190,(MATCH(A95,Data!$B$2:$B$22,0)-1)*9+MATCH("Animal",Parsed!$C$2:$C$10,0))=INDEX(Parsed!$H$2:$H$190,(MATCH(B95,Data!$B$2:$B$22,0)-1)*9+MATCH("Animal",Parsed!$C$2:$C$10,0)),INDEX(Parsed!$M$2:$M$190,(MATCH(A95,Data!$B$2:$B$22,0)-1)*9+MATCH("Animal",Parsed!$C$2:$C$10,0))*INDEX(Parsed!$I$2:$I$190,(MATCH(B95,Data!$B$2:$B$22,0)-1)*9+MATCH("Animal",Parsed!$C$2:$C$10,0)),0),0)</x:f>
        <x:v>38.75</x:v>
      </x:c>
      <x:c r="E95" s="11" t="n">
        <x:f>SQRT(C95*D95)</x:f>
        <x:v>44.017042154147525</x:v>
      </x:c>
    </x:row>
    <x:row r="96">
      <x:c r="A96" t="str">
        <x:v>ayaan</x:v>
      </x:c>
      <x:c r="B96" t="str">
        <x:v>sophiah</x:v>
      </x:c>
      <x:c r="C96" s="11" t="n">
        <x:f>IFERROR(IF(INDEX(Parsed!$K$2:$K$190,(MATCH(B96,Data!$B$2:$B$22,0)-1)*9+MATCH("God",Parsed!$C$2:$C$10,0))=INDEX(Parsed!$H$2:$H$190,(MATCH(A96,Data!$B$2:$B$22,0)-1)*9+MATCH("God",Parsed!$C$2:$C$10,0)),INDEX(Parsed!$M$2:$M$190,(MATCH(B96,Data!$B$2:$B$22,0)-1)*9+MATCH("God",Parsed!$C$2:$C$10,0))*INDEX(Parsed!$I$2:$I$190,(MATCH(A96,Data!$B$2:$B$22,0)-1)*9+MATCH("God",Parsed!$C$2:$C$10,0)),0)+IF(INDEX(Parsed!$K$2:$K$190,(MATCH(B96,Data!$B$2:$B$22,0)-1)*9+MATCH("Politics",Parsed!$C$2:$C$10,0))=INDEX(Parsed!$H$2:$H$190,(MATCH(A96,Data!$B$2:$B$22,0)-1)*9+MATCH("Politics",Parsed!$C$2:$C$10,0)),INDEX(Parsed!$M$2:$M$190,(MATCH(B96,Data!$B$2:$B$22,0)-1)*9+MATCH("Politics",Parsed!$C$2:$C$10,0))*INDEX(Parsed!$I$2:$I$190,(MATCH(A96,Data!$B$2:$B$22,0)-1)*9+MATCH("Politics",Parsed!$C$2:$C$10,0)),0)+IF(INDEX(Parsed!$K$2:$K$190,(MATCH(B96,Data!$B$2:$B$22,0)-1)*9+MATCH("Marriage",Parsed!$C$2:$C$10,0))=INDEX(Parsed!$H$2:$H$190,(MATCH(A96,Data!$B$2:$B$22,0)-1)*9+MATCH("Marriage",Parsed!$C$2:$C$10,0)),INDEX(Parsed!$M$2:$M$190,(MATCH(B96,Data!$B$2:$B$22,0)-1)*9+MATCH("Marriage",Parsed!$C$2:$C$10,0))*INDEX(Parsed!$I$2:$I$190,(MATCH(A96,Data!$B$2:$B$22,0)-1)*9+MATCH("Marriage",Parsed!$C$2:$C$10,0)),0)+IF(INDEX(Parsed!$K$2:$K$190,(MATCH(B96,Data!$B$2:$B$22,0)-1)*9+MATCH("Children",Parsed!$C$2:$C$10,0))=INDEX(Parsed!$H$2:$H$190,(MATCH(A96,Data!$B$2:$B$22,0)-1)*9+MATCH("Children",Parsed!$C$2:$C$10,0)),INDEX(Parsed!$M$2:$M$190,(MATCH(B96,Data!$B$2:$B$22,0)-1)*9+MATCH("Children",Parsed!$C$2:$C$10,0))*INDEX(Parsed!$I$2:$I$190,(MATCH(A96,Data!$B$2:$B$22,0)-1)*9+MATCH("Children",Parsed!$C$2:$C$10,0)),0)+IF(INDEX(Parsed!$K$2:$K$190,(MATCH(B96,Data!$B$2:$B$22,0)-1)*9+MATCH("Ethicity",Parsed!$C$2:$C$10,0))=INDEX(Parsed!$H$2:$H$190,(MATCH(A96,Data!$B$2:$B$22,0)-1)*9+MATCH("Ethicity",Parsed!$C$2:$C$10,0)),INDEX(Parsed!$M$2:$M$190,(MATCH(B96,Data!$B$2:$B$22,0)-1)*9+MATCH("Ethicity",Parsed!$C$2:$C$10,0))*INDEX(Parsed!$I$2:$I$190,(MATCH(A96,Data!$B$2:$B$22,0)-1)*9+MATCH("Ethicity",Parsed!$C$2:$C$10,0)),0)+IF(INDEX(Parsed!$K$2:$K$190,(MATCH(B96,Data!$B$2:$B$22,0)-1)*9+MATCH("Past",Parsed!$C$2:$C$10,0))=INDEX(Parsed!$H$2:$H$190,(MATCH(A96,Data!$B$2:$B$22,0)-1)*9+MATCH("Past",Parsed!$C$2:$C$10,0)),INDEX(Parsed!$M$2:$M$190,(MATCH(B96,Data!$B$2:$B$22,0)-1)*9+MATCH("Past",Parsed!$C$2:$C$10,0))*INDEX(Parsed!$I$2:$I$190,(MATCH(A96,Data!$B$2:$B$22,0)-1)*9+MATCH("Past",Parsed!$C$2:$C$10,0)),0)+IF(INDEX(Parsed!$K$2:$K$190,(MATCH(B96,Data!$B$2:$B$22,0)-1)*9+MATCH("D/S",Parsed!$C$2:$C$10,0))=INDEX(Parsed!$H$2:$H$190,(MATCH(A96,Data!$B$2:$B$22,0)-1)*9+MATCH("D/S",Parsed!$C$2:$C$10,0)),INDEX(Parsed!$M$2:$M$190,(MATCH(B96,Data!$B$2:$B$22,0)-1)*9+MATCH("D/S",Parsed!$C$2:$C$10,0))*INDEX(Parsed!$I$2:$I$190,(MATCH(A96,Data!$B$2:$B$22,0)-1)*9+MATCH("D/S",Parsed!$C$2:$C$10,0)),0)+IF(INDEX(Parsed!$K$2:$K$190,(MATCH(B96,Data!$B$2:$B$22,0)-1)*9+MATCH("True/kind",Parsed!$C$2:$C$10,0))=INDEX(Parsed!$H$2:$H$190,(MATCH(A96,Data!$B$2:$B$22,0)-1)*9+MATCH("True/kind",Parsed!$C$2:$C$10,0)),INDEX(Parsed!$M$2:$M$190,(MATCH(B96,Data!$B$2:$B$22,0)-1)*9+MATCH("True/kind",Parsed!$C$2:$C$10,0))*INDEX(Parsed!$I$2:$I$190,(MATCH(A96,Data!$B$2:$B$22,0)-1)*9+MATCH("True/kind",Parsed!$C$2:$C$10,0)),0)+IF(INDEX(Parsed!$K$2:$K$190,(MATCH(B96,Data!$B$2:$B$22,0)-1)*9+MATCH("Animal",Parsed!$C$2:$C$10,0))=INDEX(Parsed!$H$2:$H$190,(MATCH(A96,Data!$B$2:$B$22,0)-1)*9+MATCH("Animal",Parsed!$C$2:$C$10,0)),INDEX(Parsed!$M$2:$M$190,(MATCH(B96,Data!$B$2:$B$22,0)-1)*9+MATCH("Animal",Parsed!$C$2:$C$10,0))*INDEX(Parsed!$I$2:$I$190,(MATCH(A96,Data!$B$2:$B$22,0)-1)*9+MATCH("Animal",Parsed!$C$2:$C$10,0)),0),0)</x:f>
        <x:v>18.75</x:v>
      </x:c>
      <x:c r="D96" s="11" t="n">
        <x:f>IFERROR(IF(INDEX(Parsed!$K$2:$K$190,(MATCH(A96,Data!$B$2:$B$22,0)-1)*9+MATCH("God",Parsed!$C$2:$C$10,0))=INDEX(Parsed!$H$2:$H$190,(MATCH(B96,Data!$B$2:$B$22,0)-1)*9+MATCH("God",Parsed!$C$2:$C$10,0)),INDEX(Parsed!$M$2:$M$190,(MATCH(A96,Data!$B$2:$B$22,0)-1)*9+MATCH("God",Parsed!$C$2:$C$10,0))*INDEX(Parsed!$I$2:$I$190,(MATCH(B96,Data!$B$2:$B$22,0)-1)*9+MATCH("God",Parsed!$C$2:$C$10,0)),0)+IF(INDEX(Parsed!$K$2:$K$190,(MATCH(A96,Data!$B$2:$B$22,0)-1)*9+MATCH("Politics",Parsed!$C$2:$C$10,0))=INDEX(Parsed!$H$2:$H$190,(MATCH(B96,Data!$B$2:$B$22,0)-1)*9+MATCH("Politics",Parsed!$C$2:$C$10,0)),INDEX(Parsed!$M$2:$M$190,(MATCH(A96,Data!$B$2:$B$22,0)-1)*9+MATCH("Politics",Parsed!$C$2:$C$10,0))*INDEX(Parsed!$I$2:$I$190,(MATCH(B96,Data!$B$2:$B$22,0)-1)*9+MATCH("Politics",Parsed!$C$2:$C$10,0)),0)+IF(INDEX(Parsed!$K$2:$K$190,(MATCH(A96,Data!$B$2:$B$22,0)-1)*9+MATCH("Marriage",Parsed!$C$2:$C$10,0))=INDEX(Parsed!$H$2:$H$190,(MATCH(B96,Data!$B$2:$B$22,0)-1)*9+MATCH("Marriage",Parsed!$C$2:$C$10,0)),INDEX(Parsed!$M$2:$M$190,(MATCH(A96,Data!$B$2:$B$22,0)-1)*9+MATCH("Marriage",Parsed!$C$2:$C$10,0))*INDEX(Parsed!$I$2:$I$190,(MATCH(B96,Data!$B$2:$B$22,0)-1)*9+MATCH("Marriage",Parsed!$C$2:$C$10,0)),0)+IF(INDEX(Parsed!$K$2:$K$190,(MATCH(A96,Data!$B$2:$B$22,0)-1)*9+MATCH("Children",Parsed!$C$2:$C$10,0))=INDEX(Parsed!$H$2:$H$190,(MATCH(B96,Data!$B$2:$B$22,0)-1)*9+MATCH("Children",Parsed!$C$2:$C$10,0)),INDEX(Parsed!$M$2:$M$190,(MATCH(A96,Data!$B$2:$B$22,0)-1)*9+MATCH("Children",Parsed!$C$2:$C$10,0))*INDEX(Parsed!$I$2:$I$190,(MATCH(B96,Data!$B$2:$B$22,0)-1)*9+MATCH("Children",Parsed!$C$2:$C$10,0)),0)+IF(INDEX(Parsed!$K$2:$K$190,(MATCH(A96,Data!$B$2:$B$22,0)-1)*9+MATCH("Ethicity",Parsed!$C$2:$C$10,0))=INDEX(Parsed!$H$2:$H$190,(MATCH(B96,Data!$B$2:$B$22,0)-1)*9+MATCH("Ethicity",Parsed!$C$2:$C$10,0)),INDEX(Parsed!$M$2:$M$190,(MATCH(A96,Data!$B$2:$B$22,0)-1)*9+MATCH("Ethicity",Parsed!$C$2:$C$10,0))*INDEX(Parsed!$I$2:$I$190,(MATCH(B96,Data!$B$2:$B$22,0)-1)*9+MATCH("Ethicity",Parsed!$C$2:$C$10,0)),0)+IF(INDEX(Parsed!$K$2:$K$190,(MATCH(A96,Data!$B$2:$B$22,0)-1)*9+MATCH("Past",Parsed!$C$2:$C$10,0))=INDEX(Parsed!$H$2:$H$190,(MATCH(B96,Data!$B$2:$B$22,0)-1)*9+MATCH("Past",Parsed!$C$2:$C$10,0)),INDEX(Parsed!$M$2:$M$190,(MATCH(A96,Data!$B$2:$B$22,0)-1)*9+MATCH("Past",Parsed!$C$2:$C$10,0))*INDEX(Parsed!$I$2:$I$190,(MATCH(B96,Data!$B$2:$B$22,0)-1)*9+MATCH("Past",Parsed!$C$2:$C$10,0)),0)+IF(INDEX(Parsed!$K$2:$K$190,(MATCH(A96,Data!$B$2:$B$22,0)-1)*9+MATCH("D/S",Parsed!$C$2:$C$10,0))=INDEX(Parsed!$H$2:$H$190,(MATCH(B96,Data!$B$2:$B$22,0)-1)*9+MATCH("D/S",Parsed!$C$2:$C$10,0)),INDEX(Parsed!$M$2:$M$190,(MATCH(A96,Data!$B$2:$B$22,0)-1)*9+MATCH("D/S",Parsed!$C$2:$C$10,0))*INDEX(Parsed!$I$2:$I$190,(MATCH(B96,Data!$B$2:$B$22,0)-1)*9+MATCH("D/S",Parsed!$C$2:$C$10,0)),0)+IF(INDEX(Parsed!$K$2:$K$190,(MATCH(A96,Data!$B$2:$B$22,0)-1)*9+MATCH("True/kind",Parsed!$C$2:$C$10,0))=INDEX(Parsed!$H$2:$H$190,(MATCH(B96,Data!$B$2:$B$22,0)-1)*9+MATCH("True/kind",Parsed!$C$2:$C$10,0)),INDEX(Parsed!$M$2:$M$190,(MATCH(A96,Data!$B$2:$B$22,0)-1)*9+MATCH("True/kind",Parsed!$C$2:$C$10,0))*INDEX(Parsed!$I$2:$I$190,(MATCH(B96,Data!$B$2:$B$22,0)-1)*9+MATCH("True/kind",Parsed!$C$2:$C$10,0)),0)+IF(INDEX(Parsed!$K$2:$K$190,(MATCH(A96,Data!$B$2:$B$22,0)-1)*9+MATCH("Animal",Parsed!$C$2:$C$10,0))=INDEX(Parsed!$H$2:$H$190,(MATCH(B96,Data!$B$2:$B$22,0)-1)*9+MATCH("Animal",Parsed!$C$2:$C$10,0)),INDEX(Parsed!$M$2:$M$190,(MATCH(A96,Data!$B$2:$B$22,0)-1)*9+MATCH("Animal",Parsed!$C$2:$C$10,0))*INDEX(Parsed!$I$2:$I$190,(MATCH(B96,Data!$B$2:$B$22,0)-1)*9+MATCH("Animal",Parsed!$C$2:$C$10,0)),0),0)</x:f>
        <x:v>30</x:v>
      </x:c>
      <x:c r="E96" s="11" t="n">
        <x:f>SQRT(C96*D96)</x:f>
        <x:v>23.717082451262844</x:v>
      </x:c>
    </x:row>
    <x:row r="97">
      <x:c r="A97" t="str">
        <x:v>ayaan</x:v>
      </x:c>
      <x:c r="B97" t="str">
        <x:v>angela</x:v>
      </x:c>
      <x:c r="C97" s="11" t="n">
        <x:f>IFERROR(IF(INDEX(Parsed!$K$2:$K$190,(MATCH(B97,Data!$B$2:$B$22,0)-1)*9+MATCH("God",Parsed!$C$2:$C$10,0))=INDEX(Parsed!$H$2:$H$190,(MATCH(A97,Data!$B$2:$B$22,0)-1)*9+MATCH("God",Parsed!$C$2:$C$10,0)),INDEX(Parsed!$M$2:$M$190,(MATCH(B97,Data!$B$2:$B$22,0)-1)*9+MATCH("God",Parsed!$C$2:$C$10,0))*INDEX(Parsed!$I$2:$I$190,(MATCH(A97,Data!$B$2:$B$22,0)-1)*9+MATCH("God",Parsed!$C$2:$C$10,0)),0)+IF(INDEX(Parsed!$K$2:$K$190,(MATCH(B97,Data!$B$2:$B$22,0)-1)*9+MATCH("Politics",Parsed!$C$2:$C$10,0))=INDEX(Parsed!$H$2:$H$190,(MATCH(A97,Data!$B$2:$B$22,0)-1)*9+MATCH("Politics",Parsed!$C$2:$C$10,0)),INDEX(Parsed!$M$2:$M$190,(MATCH(B97,Data!$B$2:$B$22,0)-1)*9+MATCH("Politics",Parsed!$C$2:$C$10,0))*INDEX(Parsed!$I$2:$I$190,(MATCH(A97,Data!$B$2:$B$22,0)-1)*9+MATCH("Politics",Parsed!$C$2:$C$10,0)),0)+IF(INDEX(Parsed!$K$2:$K$190,(MATCH(B97,Data!$B$2:$B$22,0)-1)*9+MATCH("Marriage",Parsed!$C$2:$C$10,0))=INDEX(Parsed!$H$2:$H$190,(MATCH(A97,Data!$B$2:$B$22,0)-1)*9+MATCH("Marriage",Parsed!$C$2:$C$10,0)),INDEX(Parsed!$M$2:$M$190,(MATCH(B97,Data!$B$2:$B$22,0)-1)*9+MATCH("Marriage",Parsed!$C$2:$C$10,0))*INDEX(Parsed!$I$2:$I$190,(MATCH(A97,Data!$B$2:$B$22,0)-1)*9+MATCH("Marriage",Parsed!$C$2:$C$10,0)),0)+IF(INDEX(Parsed!$K$2:$K$190,(MATCH(B97,Data!$B$2:$B$22,0)-1)*9+MATCH("Children",Parsed!$C$2:$C$10,0))=INDEX(Parsed!$H$2:$H$190,(MATCH(A97,Data!$B$2:$B$22,0)-1)*9+MATCH("Children",Parsed!$C$2:$C$10,0)),INDEX(Parsed!$M$2:$M$190,(MATCH(B97,Data!$B$2:$B$22,0)-1)*9+MATCH("Children",Parsed!$C$2:$C$10,0))*INDEX(Parsed!$I$2:$I$190,(MATCH(A97,Data!$B$2:$B$22,0)-1)*9+MATCH("Children",Parsed!$C$2:$C$10,0)),0)+IF(INDEX(Parsed!$K$2:$K$190,(MATCH(B97,Data!$B$2:$B$22,0)-1)*9+MATCH("Ethicity",Parsed!$C$2:$C$10,0))=INDEX(Parsed!$H$2:$H$190,(MATCH(A97,Data!$B$2:$B$22,0)-1)*9+MATCH("Ethicity",Parsed!$C$2:$C$10,0)),INDEX(Parsed!$M$2:$M$190,(MATCH(B97,Data!$B$2:$B$22,0)-1)*9+MATCH("Ethicity",Parsed!$C$2:$C$10,0))*INDEX(Parsed!$I$2:$I$190,(MATCH(A97,Data!$B$2:$B$22,0)-1)*9+MATCH("Ethicity",Parsed!$C$2:$C$10,0)),0)+IF(INDEX(Parsed!$K$2:$K$190,(MATCH(B97,Data!$B$2:$B$22,0)-1)*9+MATCH("Past",Parsed!$C$2:$C$10,0))=INDEX(Parsed!$H$2:$H$190,(MATCH(A97,Data!$B$2:$B$22,0)-1)*9+MATCH("Past",Parsed!$C$2:$C$10,0)),INDEX(Parsed!$M$2:$M$190,(MATCH(B97,Data!$B$2:$B$22,0)-1)*9+MATCH("Past",Parsed!$C$2:$C$10,0))*INDEX(Parsed!$I$2:$I$190,(MATCH(A97,Data!$B$2:$B$22,0)-1)*9+MATCH("Past",Parsed!$C$2:$C$10,0)),0)+IF(INDEX(Parsed!$K$2:$K$190,(MATCH(B97,Data!$B$2:$B$22,0)-1)*9+MATCH("D/S",Parsed!$C$2:$C$10,0))=INDEX(Parsed!$H$2:$H$190,(MATCH(A97,Data!$B$2:$B$22,0)-1)*9+MATCH("D/S",Parsed!$C$2:$C$10,0)),INDEX(Parsed!$M$2:$M$190,(MATCH(B97,Data!$B$2:$B$22,0)-1)*9+MATCH("D/S",Parsed!$C$2:$C$10,0))*INDEX(Parsed!$I$2:$I$190,(MATCH(A97,Data!$B$2:$B$22,0)-1)*9+MATCH("D/S",Parsed!$C$2:$C$10,0)),0)+IF(INDEX(Parsed!$K$2:$K$190,(MATCH(B97,Data!$B$2:$B$22,0)-1)*9+MATCH("True/kind",Parsed!$C$2:$C$10,0))=INDEX(Parsed!$H$2:$H$190,(MATCH(A97,Data!$B$2:$B$22,0)-1)*9+MATCH("True/kind",Parsed!$C$2:$C$10,0)),INDEX(Parsed!$M$2:$M$190,(MATCH(B97,Data!$B$2:$B$22,0)-1)*9+MATCH("True/kind",Parsed!$C$2:$C$10,0))*INDEX(Parsed!$I$2:$I$190,(MATCH(A97,Data!$B$2:$B$22,0)-1)*9+MATCH("True/kind",Parsed!$C$2:$C$10,0)),0)+IF(INDEX(Parsed!$K$2:$K$190,(MATCH(B97,Data!$B$2:$B$22,0)-1)*9+MATCH("Animal",Parsed!$C$2:$C$10,0))=INDEX(Parsed!$H$2:$H$190,(MATCH(A97,Data!$B$2:$B$22,0)-1)*9+MATCH("Animal",Parsed!$C$2:$C$10,0)),INDEX(Parsed!$M$2:$M$190,(MATCH(B97,Data!$B$2:$B$22,0)-1)*9+MATCH("Animal",Parsed!$C$2:$C$10,0))*INDEX(Parsed!$I$2:$I$190,(MATCH(A97,Data!$B$2:$B$22,0)-1)*9+MATCH("Animal",Parsed!$C$2:$C$10,0)),0),0)</x:f>
        <x:v>52.5</x:v>
      </x:c>
      <x:c r="D97" s="11" t="n">
        <x:f>IFERROR(IF(INDEX(Parsed!$K$2:$K$190,(MATCH(A97,Data!$B$2:$B$22,0)-1)*9+MATCH("God",Parsed!$C$2:$C$10,0))=INDEX(Parsed!$H$2:$H$190,(MATCH(B97,Data!$B$2:$B$22,0)-1)*9+MATCH("God",Parsed!$C$2:$C$10,0)),INDEX(Parsed!$M$2:$M$190,(MATCH(A97,Data!$B$2:$B$22,0)-1)*9+MATCH("God",Parsed!$C$2:$C$10,0))*INDEX(Parsed!$I$2:$I$190,(MATCH(B97,Data!$B$2:$B$22,0)-1)*9+MATCH("God",Parsed!$C$2:$C$10,0)),0)+IF(INDEX(Parsed!$K$2:$K$190,(MATCH(A97,Data!$B$2:$B$22,0)-1)*9+MATCH("Politics",Parsed!$C$2:$C$10,0))=INDEX(Parsed!$H$2:$H$190,(MATCH(B97,Data!$B$2:$B$22,0)-1)*9+MATCH("Politics",Parsed!$C$2:$C$10,0)),INDEX(Parsed!$M$2:$M$190,(MATCH(A97,Data!$B$2:$B$22,0)-1)*9+MATCH("Politics",Parsed!$C$2:$C$10,0))*INDEX(Parsed!$I$2:$I$190,(MATCH(B97,Data!$B$2:$B$22,0)-1)*9+MATCH("Politics",Parsed!$C$2:$C$10,0)),0)+IF(INDEX(Parsed!$K$2:$K$190,(MATCH(A97,Data!$B$2:$B$22,0)-1)*9+MATCH("Marriage",Parsed!$C$2:$C$10,0))=INDEX(Parsed!$H$2:$H$190,(MATCH(B97,Data!$B$2:$B$22,0)-1)*9+MATCH("Marriage",Parsed!$C$2:$C$10,0)),INDEX(Parsed!$M$2:$M$190,(MATCH(A97,Data!$B$2:$B$22,0)-1)*9+MATCH("Marriage",Parsed!$C$2:$C$10,0))*INDEX(Parsed!$I$2:$I$190,(MATCH(B97,Data!$B$2:$B$22,0)-1)*9+MATCH("Marriage",Parsed!$C$2:$C$10,0)),0)+IF(INDEX(Parsed!$K$2:$K$190,(MATCH(A97,Data!$B$2:$B$22,0)-1)*9+MATCH("Children",Parsed!$C$2:$C$10,0))=INDEX(Parsed!$H$2:$H$190,(MATCH(B97,Data!$B$2:$B$22,0)-1)*9+MATCH("Children",Parsed!$C$2:$C$10,0)),INDEX(Parsed!$M$2:$M$190,(MATCH(A97,Data!$B$2:$B$22,0)-1)*9+MATCH("Children",Parsed!$C$2:$C$10,0))*INDEX(Parsed!$I$2:$I$190,(MATCH(B97,Data!$B$2:$B$22,0)-1)*9+MATCH("Children",Parsed!$C$2:$C$10,0)),0)+IF(INDEX(Parsed!$K$2:$K$190,(MATCH(A97,Data!$B$2:$B$22,0)-1)*9+MATCH("Ethicity",Parsed!$C$2:$C$10,0))=INDEX(Parsed!$H$2:$H$190,(MATCH(B97,Data!$B$2:$B$22,0)-1)*9+MATCH("Ethicity",Parsed!$C$2:$C$10,0)),INDEX(Parsed!$M$2:$M$190,(MATCH(A97,Data!$B$2:$B$22,0)-1)*9+MATCH("Ethicity",Parsed!$C$2:$C$10,0))*INDEX(Parsed!$I$2:$I$190,(MATCH(B97,Data!$B$2:$B$22,0)-1)*9+MATCH("Ethicity",Parsed!$C$2:$C$10,0)),0)+IF(INDEX(Parsed!$K$2:$K$190,(MATCH(A97,Data!$B$2:$B$22,0)-1)*9+MATCH("Past",Parsed!$C$2:$C$10,0))=INDEX(Parsed!$H$2:$H$190,(MATCH(B97,Data!$B$2:$B$22,0)-1)*9+MATCH("Past",Parsed!$C$2:$C$10,0)),INDEX(Parsed!$M$2:$M$190,(MATCH(A97,Data!$B$2:$B$22,0)-1)*9+MATCH("Past",Parsed!$C$2:$C$10,0))*INDEX(Parsed!$I$2:$I$190,(MATCH(B97,Data!$B$2:$B$22,0)-1)*9+MATCH("Past",Parsed!$C$2:$C$10,0)),0)+IF(INDEX(Parsed!$K$2:$K$190,(MATCH(A97,Data!$B$2:$B$22,0)-1)*9+MATCH("D/S",Parsed!$C$2:$C$10,0))=INDEX(Parsed!$H$2:$H$190,(MATCH(B97,Data!$B$2:$B$22,0)-1)*9+MATCH("D/S",Parsed!$C$2:$C$10,0)),INDEX(Parsed!$M$2:$M$190,(MATCH(A97,Data!$B$2:$B$22,0)-1)*9+MATCH("D/S",Parsed!$C$2:$C$10,0))*INDEX(Parsed!$I$2:$I$190,(MATCH(B97,Data!$B$2:$B$22,0)-1)*9+MATCH("D/S",Parsed!$C$2:$C$10,0)),0)+IF(INDEX(Parsed!$K$2:$K$190,(MATCH(A97,Data!$B$2:$B$22,0)-1)*9+MATCH("True/kind",Parsed!$C$2:$C$10,0))=INDEX(Parsed!$H$2:$H$190,(MATCH(B97,Data!$B$2:$B$22,0)-1)*9+MATCH("True/kind",Parsed!$C$2:$C$10,0)),INDEX(Parsed!$M$2:$M$190,(MATCH(A97,Data!$B$2:$B$22,0)-1)*9+MATCH("True/kind",Parsed!$C$2:$C$10,0))*INDEX(Parsed!$I$2:$I$190,(MATCH(B97,Data!$B$2:$B$22,0)-1)*9+MATCH("True/kind",Parsed!$C$2:$C$10,0)),0)+IF(INDEX(Parsed!$K$2:$K$190,(MATCH(A97,Data!$B$2:$B$22,0)-1)*9+MATCH("Animal",Parsed!$C$2:$C$10,0))=INDEX(Parsed!$H$2:$H$190,(MATCH(B97,Data!$B$2:$B$22,0)-1)*9+MATCH("Animal",Parsed!$C$2:$C$10,0)),INDEX(Parsed!$M$2:$M$190,(MATCH(A97,Data!$B$2:$B$22,0)-1)*9+MATCH("Animal",Parsed!$C$2:$C$10,0))*INDEX(Parsed!$I$2:$I$190,(MATCH(B97,Data!$B$2:$B$22,0)-1)*9+MATCH("Animal",Parsed!$C$2:$C$10,0)),0),0)</x:f>
        <x:v>31.25</x:v>
      </x:c>
      <x:c r="E97" s="11" t="n">
        <x:f>SQRT(C97*D97)</x:f>
        <x:v>40.50462936504913</x:v>
      </x:c>
    </x:row>
    <x:row r="98">
      <x:c r="A98" t="str">
        <x:v>ayaan</x:v>
      </x:c>
      <x:c r="B98" t="str">
        <x:v>issabel</x:v>
      </x:c>
      <x:c r="C98" s="11" t="n">
        <x:f>IFERROR(IF(INDEX(Parsed!$K$2:$K$190,(MATCH(B98,Data!$B$2:$B$22,0)-1)*9+MATCH("God",Parsed!$C$2:$C$10,0))=INDEX(Parsed!$H$2:$H$190,(MATCH(A98,Data!$B$2:$B$22,0)-1)*9+MATCH("God",Parsed!$C$2:$C$10,0)),INDEX(Parsed!$M$2:$M$190,(MATCH(B98,Data!$B$2:$B$22,0)-1)*9+MATCH("God",Parsed!$C$2:$C$10,0))*INDEX(Parsed!$I$2:$I$190,(MATCH(A98,Data!$B$2:$B$22,0)-1)*9+MATCH("God",Parsed!$C$2:$C$10,0)),0)+IF(INDEX(Parsed!$K$2:$K$190,(MATCH(B98,Data!$B$2:$B$22,0)-1)*9+MATCH("Politics",Parsed!$C$2:$C$10,0))=INDEX(Parsed!$H$2:$H$190,(MATCH(A98,Data!$B$2:$B$22,0)-1)*9+MATCH("Politics",Parsed!$C$2:$C$10,0)),INDEX(Parsed!$M$2:$M$190,(MATCH(B98,Data!$B$2:$B$22,0)-1)*9+MATCH("Politics",Parsed!$C$2:$C$10,0))*INDEX(Parsed!$I$2:$I$190,(MATCH(A98,Data!$B$2:$B$22,0)-1)*9+MATCH("Politics",Parsed!$C$2:$C$10,0)),0)+IF(INDEX(Parsed!$K$2:$K$190,(MATCH(B98,Data!$B$2:$B$22,0)-1)*9+MATCH("Marriage",Parsed!$C$2:$C$10,0))=INDEX(Parsed!$H$2:$H$190,(MATCH(A98,Data!$B$2:$B$22,0)-1)*9+MATCH("Marriage",Parsed!$C$2:$C$10,0)),INDEX(Parsed!$M$2:$M$190,(MATCH(B98,Data!$B$2:$B$22,0)-1)*9+MATCH("Marriage",Parsed!$C$2:$C$10,0))*INDEX(Parsed!$I$2:$I$190,(MATCH(A98,Data!$B$2:$B$22,0)-1)*9+MATCH("Marriage",Parsed!$C$2:$C$10,0)),0)+IF(INDEX(Parsed!$K$2:$K$190,(MATCH(B98,Data!$B$2:$B$22,0)-1)*9+MATCH("Children",Parsed!$C$2:$C$10,0))=INDEX(Parsed!$H$2:$H$190,(MATCH(A98,Data!$B$2:$B$22,0)-1)*9+MATCH("Children",Parsed!$C$2:$C$10,0)),INDEX(Parsed!$M$2:$M$190,(MATCH(B98,Data!$B$2:$B$22,0)-1)*9+MATCH("Children",Parsed!$C$2:$C$10,0))*INDEX(Parsed!$I$2:$I$190,(MATCH(A98,Data!$B$2:$B$22,0)-1)*9+MATCH("Children",Parsed!$C$2:$C$10,0)),0)+IF(INDEX(Parsed!$K$2:$K$190,(MATCH(B98,Data!$B$2:$B$22,0)-1)*9+MATCH("Ethicity",Parsed!$C$2:$C$10,0))=INDEX(Parsed!$H$2:$H$190,(MATCH(A98,Data!$B$2:$B$22,0)-1)*9+MATCH("Ethicity",Parsed!$C$2:$C$10,0)),INDEX(Parsed!$M$2:$M$190,(MATCH(B98,Data!$B$2:$B$22,0)-1)*9+MATCH("Ethicity",Parsed!$C$2:$C$10,0))*INDEX(Parsed!$I$2:$I$190,(MATCH(A98,Data!$B$2:$B$22,0)-1)*9+MATCH("Ethicity",Parsed!$C$2:$C$10,0)),0)+IF(INDEX(Parsed!$K$2:$K$190,(MATCH(B98,Data!$B$2:$B$22,0)-1)*9+MATCH("Past",Parsed!$C$2:$C$10,0))=INDEX(Parsed!$H$2:$H$190,(MATCH(A98,Data!$B$2:$B$22,0)-1)*9+MATCH("Past",Parsed!$C$2:$C$10,0)),INDEX(Parsed!$M$2:$M$190,(MATCH(B98,Data!$B$2:$B$22,0)-1)*9+MATCH("Past",Parsed!$C$2:$C$10,0))*INDEX(Parsed!$I$2:$I$190,(MATCH(A98,Data!$B$2:$B$22,0)-1)*9+MATCH("Past",Parsed!$C$2:$C$10,0)),0)+IF(INDEX(Parsed!$K$2:$K$190,(MATCH(B98,Data!$B$2:$B$22,0)-1)*9+MATCH("D/S",Parsed!$C$2:$C$10,0))=INDEX(Parsed!$H$2:$H$190,(MATCH(A98,Data!$B$2:$B$22,0)-1)*9+MATCH("D/S",Parsed!$C$2:$C$10,0)),INDEX(Parsed!$M$2:$M$190,(MATCH(B98,Data!$B$2:$B$22,0)-1)*9+MATCH("D/S",Parsed!$C$2:$C$10,0))*INDEX(Parsed!$I$2:$I$190,(MATCH(A98,Data!$B$2:$B$22,0)-1)*9+MATCH("D/S",Parsed!$C$2:$C$10,0)),0)+IF(INDEX(Parsed!$K$2:$K$190,(MATCH(B98,Data!$B$2:$B$22,0)-1)*9+MATCH("True/kind",Parsed!$C$2:$C$10,0))=INDEX(Parsed!$H$2:$H$190,(MATCH(A98,Data!$B$2:$B$22,0)-1)*9+MATCH("True/kind",Parsed!$C$2:$C$10,0)),INDEX(Parsed!$M$2:$M$190,(MATCH(B98,Data!$B$2:$B$22,0)-1)*9+MATCH("True/kind",Parsed!$C$2:$C$10,0))*INDEX(Parsed!$I$2:$I$190,(MATCH(A98,Data!$B$2:$B$22,0)-1)*9+MATCH("True/kind",Parsed!$C$2:$C$10,0)),0)+IF(INDEX(Parsed!$K$2:$K$190,(MATCH(B98,Data!$B$2:$B$22,0)-1)*9+MATCH("Animal",Parsed!$C$2:$C$10,0))=INDEX(Parsed!$H$2:$H$190,(MATCH(A98,Data!$B$2:$B$22,0)-1)*9+MATCH("Animal",Parsed!$C$2:$C$10,0)),INDEX(Parsed!$M$2:$M$190,(MATCH(B98,Data!$B$2:$B$22,0)-1)*9+MATCH("Animal",Parsed!$C$2:$C$10,0))*INDEX(Parsed!$I$2:$I$190,(MATCH(A98,Data!$B$2:$B$22,0)-1)*9+MATCH("Animal",Parsed!$C$2:$C$10,0)),0),0)</x:f>
        <x:v>45</x:v>
      </x:c>
      <x:c r="D98" s="11" t="n">
        <x:f>IFERROR(IF(INDEX(Parsed!$K$2:$K$190,(MATCH(A98,Data!$B$2:$B$22,0)-1)*9+MATCH("God",Parsed!$C$2:$C$10,0))=INDEX(Parsed!$H$2:$H$190,(MATCH(B98,Data!$B$2:$B$22,0)-1)*9+MATCH("God",Parsed!$C$2:$C$10,0)),INDEX(Parsed!$M$2:$M$190,(MATCH(A98,Data!$B$2:$B$22,0)-1)*9+MATCH("God",Parsed!$C$2:$C$10,0))*INDEX(Parsed!$I$2:$I$190,(MATCH(B98,Data!$B$2:$B$22,0)-1)*9+MATCH("God",Parsed!$C$2:$C$10,0)),0)+IF(INDEX(Parsed!$K$2:$K$190,(MATCH(A98,Data!$B$2:$B$22,0)-1)*9+MATCH("Politics",Parsed!$C$2:$C$10,0))=INDEX(Parsed!$H$2:$H$190,(MATCH(B98,Data!$B$2:$B$22,0)-1)*9+MATCH("Politics",Parsed!$C$2:$C$10,0)),INDEX(Parsed!$M$2:$M$190,(MATCH(A98,Data!$B$2:$B$22,0)-1)*9+MATCH("Politics",Parsed!$C$2:$C$10,0))*INDEX(Parsed!$I$2:$I$190,(MATCH(B98,Data!$B$2:$B$22,0)-1)*9+MATCH("Politics",Parsed!$C$2:$C$10,0)),0)+IF(INDEX(Parsed!$K$2:$K$190,(MATCH(A98,Data!$B$2:$B$22,0)-1)*9+MATCH("Marriage",Parsed!$C$2:$C$10,0))=INDEX(Parsed!$H$2:$H$190,(MATCH(B98,Data!$B$2:$B$22,0)-1)*9+MATCH("Marriage",Parsed!$C$2:$C$10,0)),INDEX(Parsed!$M$2:$M$190,(MATCH(A98,Data!$B$2:$B$22,0)-1)*9+MATCH("Marriage",Parsed!$C$2:$C$10,0))*INDEX(Parsed!$I$2:$I$190,(MATCH(B98,Data!$B$2:$B$22,0)-1)*9+MATCH("Marriage",Parsed!$C$2:$C$10,0)),0)+IF(INDEX(Parsed!$K$2:$K$190,(MATCH(A98,Data!$B$2:$B$22,0)-1)*9+MATCH("Children",Parsed!$C$2:$C$10,0))=INDEX(Parsed!$H$2:$H$190,(MATCH(B98,Data!$B$2:$B$22,0)-1)*9+MATCH("Children",Parsed!$C$2:$C$10,0)),INDEX(Parsed!$M$2:$M$190,(MATCH(A98,Data!$B$2:$B$22,0)-1)*9+MATCH("Children",Parsed!$C$2:$C$10,0))*INDEX(Parsed!$I$2:$I$190,(MATCH(B98,Data!$B$2:$B$22,0)-1)*9+MATCH("Children",Parsed!$C$2:$C$10,0)),0)+IF(INDEX(Parsed!$K$2:$K$190,(MATCH(A98,Data!$B$2:$B$22,0)-1)*9+MATCH("Ethicity",Parsed!$C$2:$C$10,0))=INDEX(Parsed!$H$2:$H$190,(MATCH(B98,Data!$B$2:$B$22,0)-1)*9+MATCH("Ethicity",Parsed!$C$2:$C$10,0)),INDEX(Parsed!$M$2:$M$190,(MATCH(A98,Data!$B$2:$B$22,0)-1)*9+MATCH("Ethicity",Parsed!$C$2:$C$10,0))*INDEX(Parsed!$I$2:$I$190,(MATCH(B98,Data!$B$2:$B$22,0)-1)*9+MATCH("Ethicity",Parsed!$C$2:$C$10,0)),0)+IF(INDEX(Parsed!$K$2:$K$190,(MATCH(A98,Data!$B$2:$B$22,0)-1)*9+MATCH("Past",Parsed!$C$2:$C$10,0))=INDEX(Parsed!$H$2:$H$190,(MATCH(B98,Data!$B$2:$B$22,0)-1)*9+MATCH("Past",Parsed!$C$2:$C$10,0)),INDEX(Parsed!$M$2:$M$190,(MATCH(A98,Data!$B$2:$B$22,0)-1)*9+MATCH("Past",Parsed!$C$2:$C$10,0))*INDEX(Parsed!$I$2:$I$190,(MATCH(B98,Data!$B$2:$B$22,0)-1)*9+MATCH("Past",Parsed!$C$2:$C$10,0)),0)+IF(INDEX(Parsed!$K$2:$K$190,(MATCH(A98,Data!$B$2:$B$22,0)-1)*9+MATCH("D/S",Parsed!$C$2:$C$10,0))=INDEX(Parsed!$H$2:$H$190,(MATCH(B98,Data!$B$2:$B$22,0)-1)*9+MATCH("D/S",Parsed!$C$2:$C$10,0)),INDEX(Parsed!$M$2:$M$190,(MATCH(A98,Data!$B$2:$B$22,0)-1)*9+MATCH("D/S",Parsed!$C$2:$C$10,0))*INDEX(Parsed!$I$2:$I$190,(MATCH(B98,Data!$B$2:$B$22,0)-1)*9+MATCH("D/S",Parsed!$C$2:$C$10,0)),0)+IF(INDEX(Parsed!$K$2:$K$190,(MATCH(A98,Data!$B$2:$B$22,0)-1)*9+MATCH("True/kind",Parsed!$C$2:$C$10,0))=INDEX(Parsed!$H$2:$H$190,(MATCH(B98,Data!$B$2:$B$22,0)-1)*9+MATCH("True/kind",Parsed!$C$2:$C$10,0)),INDEX(Parsed!$M$2:$M$190,(MATCH(A98,Data!$B$2:$B$22,0)-1)*9+MATCH("True/kind",Parsed!$C$2:$C$10,0))*INDEX(Parsed!$I$2:$I$190,(MATCH(B98,Data!$B$2:$B$22,0)-1)*9+MATCH("True/kind",Parsed!$C$2:$C$10,0)),0)+IF(INDEX(Parsed!$K$2:$K$190,(MATCH(A98,Data!$B$2:$B$22,0)-1)*9+MATCH("Animal",Parsed!$C$2:$C$10,0))=INDEX(Parsed!$H$2:$H$190,(MATCH(B98,Data!$B$2:$B$22,0)-1)*9+MATCH("Animal",Parsed!$C$2:$C$10,0)),INDEX(Parsed!$M$2:$M$190,(MATCH(A98,Data!$B$2:$B$22,0)-1)*9+MATCH("Animal",Parsed!$C$2:$C$10,0))*INDEX(Parsed!$I$2:$I$190,(MATCH(B98,Data!$B$2:$B$22,0)-1)*9+MATCH("Animal",Parsed!$C$2:$C$10,0)),0),0)</x:f>
        <x:v>60</x:v>
      </x:c>
      <x:c r="E98" s="11" t="n">
        <x:f>SQRT(C98*D98)</x:f>
        <x:v>51.96152422706632</x:v>
      </x:c>
    </x:row>
    <x:row r="99">
      <x:c r="A99" t="str">
        <x:v>ayaan</x:v>
      </x:c>
      <x:c r="B99" t="str">
        <x:v>lydia</x:v>
      </x:c>
      <x:c r="C99" s="11" t="n">
        <x:f>IFERROR(IF(INDEX(Parsed!$K$2:$K$190,(MATCH(B99,Data!$B$2:$B$22,0)-1)*9+MATCH("God",Parsed!$C$2:$C$10,0))=INDEX(Parsed!$H$2:$H$190,(MATCH(A99,Data!$B$2:$B$22,0)-1)*9+MATCH("God",Parsed!$C$2:$C$10,0)),INDEX(Parsed!$M$2:$M$190,(MATCH(B99,Data!$B$2:$B$22,0)-1)*9+MATCH("God",Parsed!$C$2:$C$10,0))*INDEX(Parsed!$I$2:$I$190,(MATCH(A99,Data!$B$2:$B$22,0)-1)*9+MATCH("God",Parsed!$C$2:$C$10,0)),0)+IF(INDEX(Parsed!$K$2:$K$190,(MATCH(B99,Data!$B$2:$B$22,0)-1)*9+MATCH("Politics",Parsed!$C$2:$C$10,0))=INDEX(Parsed!$H$2:$H$190,(MATCH(A99,Data!$B$2:$B$22,0)-1)*9+MATCH("Politics",Parsed!$C$2:$C$10,0)),INDEX(Parsed!$M$2:$M$190,(MATCH(B99,Data!$B$2:$B$22,0)-1)*9+MATCH("Politics",Parsed!$C$2:$C$10,0))*INDEX(Parsed!$I$2:$I$190,(MATCH(A99,Data!$B$2:$B$22,0)-1)*9+MATCH("Politics",Parsed!$C$2:$C$10,0)),0)+IF(INDEX(Parsed!$K$2:$K$190,(MATCH(B99,Data!$B$2:$B$22,0)-1)*9+MATCH("Marriage",Parsed!$C$2:$C$10,0))=INDEX(Parsed!$H$2:$H$190,(MATCH(A99,Data!$B$2:$B$22,0)-1)*9+MATCH("Marriage",Parsed!$C$2:$C$10,0)),INDEX(Parsed!$M$2:$M$190,(MATCH(B99,Data!$B$2:$B$22,0)-1)*9+MATCH("Marriage",Parsed!$C$2:$C$10,0))*INDEX(Parsed!$I$2:$I$190,(MATCH(A99,Data!$B$2:$B$22,0)-1)*9+MATCH("Marriage",Parsed!$C$2:$C$10,0)),0)+IF(INDEX(Parsed!$K$2:$K$190,(MATCH(B99,Data!$B$2:$B$22,0)-1)*9+MATCH("Children",Parsed!$C$2:$C$10,0))=INDEX(Parsed!$H$2:$H$190,(MATCH(A99,Data!$B$2:$B$22,0)-1)*9+MATCH("Children",Parsed!$C$2:$C$10,0)),INDEX(Parsed!$M$2:$M$190,(MATCH(B99,Data!$B$2:$B$22,0)-1)*9+MATCH("Children",Parsed!$C$2:$C$10,0))*INDEX(Parsed!$I$2:$I$190,(MATCH(A99,Data!$B$2:$B$22,0)-1)*9+MATCH("Children",Parsed!$C$2:$C$10,0)),0)+IF(INDEX(Parsed!$K$2:$K$190,(MATCH(B99,Data!$B$2:$B$22,0)-1)*9+MATCH("Ethicity",Parsed!$C$2:$C$10,0))=INDEX(Parsed!$H$2:$H$190,(MATCH(A99,Data!$B$2:$B$22,0)-1)*9+MATCH("Ethicity",Parsed!$C$2:$C$10,0)),INDEX(Parsed!$M$2:$M$190,(MATCH(B99,Data!$B$2:$B$22,0)-1)*9+MATCH("Ethicity",Parsed!$C$2:$C$10,0))*INDEX(Parsed!$I$2:$I$190,(MATCH(A99,Data!$B$2:$B$22,0)-1)*9+MATCH("Ethicity",Parsed!$C$2:$C$10,0)),0)+IF(INDEX(Parsed!$K$2:$K$190,(MATCH(B99,Data!$B$2:$B$22,0)-1)*9+MATCH("Past",Parsed!$C$2:$C$10,0))=INDEX(Parsed!$H$2:$H$190,(MATCH(A99,Data!$B$2:$B$22,0)-1)*9+MATCH("Past",Parsed!$C$2:$C$10,0)),INDEX(Parsed!$M$2:$M$190,(MATCH(B99,Data!$B$2:$B$22,0)-1)*9+MATCH("Past",Parsed!$C$2:$C$10,0))*INDEX(Parsed!$I$2:$I$190,(MATCH(A99,Data!$B$2:$B$22,0)-1)*9+MATCH("Past",Parsed!$C$2:$C$10,0)),0)+IF(INDEX(Parsed!$K$2:$K$190,(MATCH(B99,Data!$B$2:$B$22,0)-1)*9+MATCH("D/S",Parsed!$C$2:$C$10,0))=INDEX(Parsed!$H$2:$H$190,(MATCH(A99,Data!$B$2:$B$22,0)-1)*9+MATCH("D/S",Parsed!$C$2:$C$10,0)),INDEX(Parsed!$M$2:$M$190,(MATCH(B99,Data!$B$2:$B$22,0)-1)*9+MATCH("D/S",Parsed!$C$2:$C$10,0))*INDEX(Parsed!$I$2:$I$190,(MATCH(A99,Data!$B$2:$B$22,0)-1)*9+MATCH("D/S",Parsed!$C$2:$C$10,0)),0)+IF(INDEX(Parsed!$K$2:$K$190,(MATCH(B99,Data!$B$2:$B$22,0)-1)*9+MATCH("True/kind",Parsed!$C$2:$C$10,0))=INDEX(Parsed!$H$2:$H$190,(MATCH(A99,Data!$B$2:$B$22,0)-1)*9+MATCH("True/kind",Parsed!$C$2:$C$10,0)),INDEX(Parsed!$M$2:$M$190,(MATCH(B99,Data!$B$2:$B$22,0)-1)*9+MATCH("True/kind",Parsed!$C$2:$C$10,0))*INDEX(Parsed!$I$2:$I$190,(MATCH(A99,Data!$B$2:$B$22,0)-1)*9+MATCH("True/kind",Parsed!$C$2:$C$10,0)),0)+IF(INDEX(Parsed!$K$2:$K$190,(MATCH(B99,Data!$B$2:$B$22,0)-1)*9+MATCH("Animal",Parsed!$C$2:$C$10,0))=INDEX(Parsed!$H$2:$H$190,(MATCH(A99,Data!$B$2:$B$22,0)-1)*9+MATCH("Animal",Parsed!$C$2:$C$10,0)),INDEX(Parsed!$M$2:$M$190,(MATCH(B99,Data!$B$2:$B$22,0)-1)*9+MATCH("Animal",Parsed!$C$2:$C$10,0))*INDEX(Parsed!$I$2:$I$190,(MATCH(A99,Data!$B$2:$B$22,0)-1)*9+MATCH("Animal",Parsed!$C$2:$C$10,0)),0),0)</x:f>
        <x:v>30</x:v>
      </x:c>
      <x:c r="D99" s="11" t="n">
        <x:f>IFERROR(IF(INDEX(Parsed!$K$2:$K$190,(MATCH(A99,Data!$B$2:$B$22,0)-1)*9+MATCH("God",Parsed!$C$2:$C$10,0))=INDEX(Parsed!$H$2:$H$190,(MATCH(B99,Data!$B$2:$B$22,0)-1)*9+MATCH("God",Parsed!$C$2:$C$10,0)),INDEX(Parsed!$M$2:$M$190,(MATCH(A99,Data!$B$2:$B$22,0)-1)*9+MATCH("God",Parsed!$C$2:$C$10,0))*INDEX(Parsed!$I$2:$I$190,(MATCH(B99,Data!$B$2:$B$22,0)-1)*9+MATCH("God",Parsed!$C$2:$C$10,0)),0)+IF(INDEX(Parsed!$K$2:$K$190,(MATCH(A99,Data!$B$2:$B$22,0)-1)*9+MATCH("Politics",Parsed!$C$2:$C$10,0))=INDEX(Parsed!$H$2:$H$190,(MATCH(B99,Data!$B$2:$B$22,0)-1)*9+MATCH("Politics",Parsed!$C$2:$C$10,0)),INDEX(Parsed!$M$2:$M$190,(MATCH(A99,Data!$B$2:$B$22,0)-1)*9+MATCH("Politics",Parsed!$C$2:$C$10,0))*INDEX(Parsed!$I$2:$I$190,(MATCH(B99,Data!$B$2:$B$22,0)-1)*9+MATCH("Politics",Parsed!$C$2:$C$10,0)),0)+IF(INDEX(Parsed!$K$2:$K$190,(MATCH(A99,Data!$B$2:$B$22,0)-1)*9+MATCH("Marriage",Parsed!$C$2:$C$10,0))=INDEX(Parsed!$H$2:$H$190,(MATCH(B99,Data!$B$2:$B$22,0)-1)*9+MATCH("Marriage",Parsed!$C$2:$C$10,0)),INDEX(Parsed!$M$2:$M$190,(MATCH(A99,Data!$B$2:$B$22,0)-1)*9+MATCH("Marriage",Parsed!$C$2:$C$10,0))*INDEX(Parsed!$I$2:$I$190,(MATCH(B99,Data!$B$2:$B$22,0)-1)*9+MATCH("Marriage",Parsed!$C$2:$C$10,0)),0)+IF(INDEX(Parsed!$K$2:$K$190,(MATCH(A99,Data!$B$2:$B$22,0)-1)*9+MATCH("Children",Parsed!$C$2:$C$10,0))=INDEX(Parsed!$H$2:$H$190,(MATCH(B99,Data!$B$2:$B$22,0)-1)*9+MATCH("Children",Parsed!$C$2:$C$10,0)),INDEX(Parsed!$M$2:$M$190,(MATCH(A99,Data!$B$2:$B$22,0)-1)*9+MATCH("Children",Parsed!$C$2:$C$10,0))*INDEX(Parsed!$I$2:$I$190,(MATCH(B99,Data!$B$2:$B$22,0)-1)*9+MATCH("Children",Parsed!$C$2:$C$10,0)),0)+IF(INDEX(Parsed!$K$2:$K$190,(MATCH(A99,Data!$B$2:$B$22,0)-1)*9+MATCH("Ethicity",Parsed!$C$2:$C$10,0))=INDEX(Parsed!$H$2:$H$190,(MATCH(B99,Data!$B$2:$B$22,0)-1)*9+MATCH("Ethicity",Parsed!$C$2:$C$10,0)),INDEX(Parsed!$M$2:$M$190,(MATCH(A99,Data!$B$2:$B$22,0)-1)*9+MATCH("Ethicity",Parsed!$C$2:$C$10,0))*INDEX(Parsed!$I$2:$I$190,(MATCH(B99,Data!$B$2:$B$22,0)-1)*9+MATCH("Ethicity",Parsed!$C$2:$C$10,0)),0)+IF(INDEX(Parsed!$K$2:$K$190,(MATCH(A99,Data!$B$2:$B$22,0)-1)*9+MATCH("Past",Parsed!$C$2:$C$10,0))=INDEX(Parsed!$H$2:$H$190,(MATCH(B99,Data!$B$2:$B$22,0)-1)*9+MATCH("Past",Parsed!$C$2:$C$10,0)),INDEX(Parsed!$M$2:$M$190,(MATCH(A99,Data!$B$2:$B$22,0)-1)*9+MATCH("Past",Parsed!$C$2:$C$10,0))*INDEX(Parsed!$I$2:$I$190,(MATCH(B99,Data!$B$2:$B$22,0)-1)*9+MATCH("Past",Parsed!$C$2:$C$10,0)),0)+IF(INDEX(Parsed!$K$2:$K$190,(MATCH(A99,Data!$B$2:$B$22,0)-1)*9+MATCH("D/S",Parsed!$C$2:$C$10,0))=INDEX(Parsed!$H$2:$H$190,(MATCH(B99,Data!$B$2:$B$22,0)-1)*9+MATCH("D/S",Parsed!$C$2:$C$10,0)),INDEX(Parsed!$M$2:$M$190,(MATCH(A99,Data!$B$2:$B$22,0)-1)*9+MATCH("D/S",Parsed!$C$2:$C$10,0))*INDEX(Parsed!$I$2:$I$190,(MATCH(B99,Data!$B$2:$B$22,0)-1)*9+MATCH("D/S",Parsed!$C$2:$C$10,0)),0)+IF(INDEX(Parsed!$K$2:$K$190,(MATCH(A99,Data!$B$2:$B$22,0)-1)*9+MATCH("True/kind",Parsed!$C$2:$C$10,0))=INDEX(Parsed!$H$2:$H$190,(MATCH(B99,Data!$B$2:$B$22,0)-1)*9+MATCH("True/kind",Parsed!$C$2:$C$10,0)),INDEX(Parsed!$M$2:$M$190,(MATCH(A99,Data!$B$2:$B$22,0)-1)*9+MATCH("True/kind",Parsed!$C$2:$C$10,0))*INDEX(Parsed!$I$2:$I$190,(MATCH(B99,Data!$B$2:$B$22,0)-1)*9+MATCH("True/kind",Parsed!$C$2:$C$10,0)),0)+IF(INDEX(Parsed!$K$2:$K$190,(MATCH(A99,Data!$B$2:$B$22,0)-1)*9+MATCH("Animal",Parsed!$C$2:$C$10,0))=INDEX(Parsed!$H$2:$H$190,(MATCH(B99,Data!$B$2:$B$22,0)-1)*9+MATCH("Animal",Parsed!$C$2:$C$10,0)),INDEX(Parsed!$M$2:$M$190,(MATCH(A99,Data!$B$2:$B$22,0)-1)*9+MATCH("Animal",Parsed!$C$2:$C$10,0))*INDEX(Parsed!$I$2:$I$190,(MATCH(B99,Data!$B$2:$B$22,0)-1)*9+MATCH("Animal",Parsed!$C$2:$C$10,0)),0),0)</x:f>
        <x:v>60</x:v>
      </x:c>
      <x:c r="E99" s="11" t="n">
        <x:f>SQRT(C99*D99)</x:f>
        <x:v>42.42640687119285</x:v>
      </x:c>
    </x:row>
  </x:sheetData>
  <x:pageMargins left="0.7" right="0.7" top="0.75" bottom="0.75" header="0.3" footer="0.3"/>
  <x:tableParts count="1">
    <x:tablePart xmlns:r="http://schemas.openxmlformats.org/officeDocument/2006/relationships" r:id="R7c28bb6387b64b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22.700000762939453" hidden="0" customWidth="1"/>
    <x:col min="3" max="3" width="22.700000762939453" hidden="0" customWidth="1"/>
    <x:col min="4" max="4" width="22.700000762939453" hidden="0" customWidth="1"/>
  </x:cols>
  <x:sheetData>
    <x:row r="1">
      <x:c r="A1" s="10" t="str">
        <x:v>Thing</x:v>
      </x:c>
      <x:c r="B1" s="10" t="str">
        <x:v>Code</x:v>
      </x:c>
      <x:c r="C1" s="10" t="str">
        <x:v>Meaning</x:v>
      </x:c>
      <x:c r="D1" s="10" t="str">
        <x:v>Score</x:v>
      </x:c>
    </x:row>
    <x:row r="2">
      <x:c r="A2" t="str">
        <x:v>Care</x:v>
      </x:c>
      <x:c r="B2" t="str">
        <x:v>D</x:v>
      </x:c>
      <x:c r="C2" t="str">
        <x:v>don't really care</x:v>
      </x:c>
      <x:c r="D2" t="n">
        <x:v>5</x:v>
      </x:c>
    </x:row>
    <x:row r="3">
      <x:c r="A3" t="str">
        <x:v>Care</x:v>
      </x:c>
      <x:c r="B3" t="str">
        <x:v>N</x:v>
      </x:c>
      <x:c r="C3" t="str">
        <x:v>nice to have</x:v>
      </x:c>
      <x:c r="D3" t="n">
        <x:v>10</x:v>
      </x:c>
    </x:row>
    <x:row r="4">
      <x:c r="A4" t="str">
        <x:v>Care</x:v>
      </x:c>
      <x:c r="B4" t="str">
        <x:v>I</x:v>
      </x:c>
      <x:c r="C4" t="str">
        <x:v>important</x:v>
      </x:c>
      <x:c r="D4" t="n">
        <x:v>15</x:v>
      </x:c>
    </x:row>
    <x:row r="5">
      <x:c r="A5" t="str">
        <x:v>Care</x:v>
      </x:c>
      <x:c r="B5" t="str">
        <x:v>M</x:v>
      </x:c>
      <x:c r="C5" t="str">
        <x:v>mandatory / very important</x:v>
      </x:c>
      <x:c r="D5" t="n">
        <x:v>40</x:v>
      </x:c>
    </x:row>
    <x:row r="6">
      <x:c r="A6" t="str">
        <x:v>Strength</x:v>
      </x:c>
      <x:c r="B6" t="str">
        <x:v>-</x:v>
      </x:c>
      <x:c r="C6" t="str">
        <x:v>weak answer from the other person</x:v>
      </x:c>
      <x:c r="D6" t="n">
        <x:v>0.75</x:v>
      </x:c>
    </x:row>
    <x:row r="8">
      <x:c r="A8" s="10" t="str">
        <x:v>Question</x:v>
      </x:c>
      <x:c r="B8" s="10" t="str">
        <x:v>Codes</x:v>
      </x:c>
      <x:c r="C8" s="10" t="str">
        <x:v>Meaning</x:v>
      </x:c>
      <x:c r="D8" s="10" t="str"/>
    </x:row>
    <x:row r="9">
      <x:c r="A9" t="str">
        <x:v>God / Children / Past</x:v>
      </x:c>
      <x:c r="B9" t="str">
        <x:v>Y / N</x:v>
      </x:c>
      <x:c r="C9" t="str">
        <x:v>yes / no</x:v>
      </x:c>
      <x:c r="D9" t="str"/>
    </x:row>
    <x:row r="10">
      <x:c r="A10" t="str">
        <x:v>Politics</x:v>
      </x:c>
      <x:c r="B10" t="str">
        <x:v>R / L</x:v>
      </x:c>
      <x:c r="C10" t="str">
        <x:v>right wing / left wing</x:v>
      </x:c>
      <x:c r="D10" t="str"/>
    </x:row>
    <x:row r="11">
      <x:c r="A11" t="str">
        <x:v>Marriage</x:v>
      </x:c>
      <x:c r="B11" t="str">
        <x:v>L / S</x:v>
      </x:c>
      <x:c r="C11" t="str">
        <x:v>love and pleasure / security and commitment</x:v>
      </x:c>
      <x:c r="D11" t="str"/>
    </x:row>
    <x:row r="12">
      <x:c r="A12" t="str">
        <x:v>Ethicity</x:v>
      </x:c>
      <x:c r="B12" t="str">
        <x:v>A / W / I / WA</x:v>
      </x:c>
      <x:c r="C12" t="str">
        <x:v>asian / white / indian / white and asian</x:v>
      </x:c>
      <x:c r="D12" t="str"/>
    </x:row>
    <x:row r="13">
      <x:c r="A13" t="str">
        <x:v>D/S</x:v>
      </x:c>
      <x:c r="B13" t="str">
        <x:v>D / S</x:v>
      </x:c>
      <x:c r="C13" t="str">
        <x:v>dominant / submissive</x:v>
      </x:c>
      <x:c r="D13" t="str"/>
    </x:row>
    <x:row r="14">
      <x:c r="A14" t="str">
        <x:v>True/kind</x:v>
      </x:c>
      <x:c r="B14" t="str">
        <x:v>T / K</x:v>
      </x:c>
      <x:c r="C14" t="str">
        <x:v>truthful / kind</x:v>
      </x:c>
      <x:c r="D14" t="str"/>
    </x:row>
    <x:row r="15">
      <x:c r="A15" t="str">
        <x:v>Animal</x:v>
      </x:c>
      <x:c r="B15" t="str">
        <x:v>A / N</x:v>
      </x:c>
      <x:c r="C15" t="str">
        <x:v>likes animals / does not like animals</x:v>
      </x:c>
      <x:c r="D15" t="str"/>
    </x:row>
    <x:row r="16">
      <x:c r="A16" t="str">
        <x:v>Want</x:v>
      </x:c>
      <x:c r="B16" t="str">
        <x:v>=</x:v>
      </x:c>
      <x:c r="C16" t="str">
        <x:v>same answer as their own answer</x:v>
      </x:c>
      <x:c r="D16" t="str"/>
    </x:row>
    <x:row r="17">
      <x:c r="A17" t="str">
        <x:v>One-letter rest</x:v>
      </x:c>
      <x:c r="B17" t="str">
        <x:v>missing equals</x:v>
      </x:c>
      <x:c r="C17" t="str">
        <x:v>treated as wants same, care D</x:v>
      </x:c>
      <x:c r="D17" t="str"/>
    </x:row>
  </x:sheetData>
  <x:pageMargins left="0.7" right="0.7" top="0.75" bottom="0.75" header="0.3" footer="0.3"/>
</x:worksheet>
</file>